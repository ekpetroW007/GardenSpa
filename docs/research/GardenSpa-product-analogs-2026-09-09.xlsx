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a95b9d48604e69" /></Relationships>
</file>

<file path=xl/workbook.xml><?xml version="1.0" encoding="utf-8"?>
<x:workbook xmlns:x="http://schemas.openxmlformats.org/spreadsheetml/2006/main">
  <x:sheets>
    <x:sheet xmlns:r="http://schemas.openxmlformats.org/officeDocument/2006/relationships" name="Как читать" sheetId="1" r:id="R7435058a93f84262"/>
    <x:sheet xmlns:r="http://schemas.openxmlformats.org/officeDocument/2006/relationships" name="Сопоставления" sheetId="2" r:id="Rf9a6b562aef24302"/>
    <x:sheet xmlns:r="http://schemas.openxmlformats.org/officeDocument/2006/relationships" name="Каталог" sheetId="3" r:id="R02efa88bc4d74f9d"/>
    <x:sheet xmlns:r="http://schemas.openxmlformats.org/officeDocument/2006/relationships" name="Участники групп" sheetId="4" r:id="R08dcee0771d24a7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0"/>
      <x:color rgb="FF213B31"/>
      <x:name val="Arial"/>
    </x:font>
    <x:font>
      <x:b/>
      <x:sz val="14"/>
      <x:color rgb="FF163D30"/>
      <x:name val="Arial"/>
    </x:font>
    <x:font>
      <x:sz val="10"/>
      <x:color rgb="FF276D53"/>
      <x:name val="Arial"/>
    </x:font>
    <x:font>
      <x:b/>
      <x:sz val="10"/>
      <x:color rgb="FFFFFFFF"/>
      <x:name val="Arial"/>
    </x:font>
    <x:font>
      <x:b/>
      <x:sz val="10"/>
      <x:color rgb="FF213B31"/>
      <x:name val="Arial"/>
    </x:font>
  </x:fonts>
  <x:fills count="8">
    <x:fill>
      <x:patternFill patternType="none"/>
    </x:fill>
    <x:fill>
      <x:patternFill patternType="gray125"/>
    </x:fill>
    <x:fill>
      <x:patternFill patternType="solid">
        <x:fgColor rgb="FFFFF1D8"/>
      </x:patternFill>
    </x:fill>
    <x:fill>
      <x:patternFill patternType="solid">
        <x:fgColor rgb="FFEEF4EE"/>
      </x:patternFill>
    </x:fill>
    <x:fill>
      <x:patternFill patternType="solid">
        <x:fgColor rgb="FFFFFFFF"/>
      </x:patternFill>
    </x:fill>
    <x:fill>
      <x:patternFill patternType="solid">
        <x:fgColor rgb="FF163D30"/>
      </x:patternFill>
    </x:fill>
    <x:fill>
      <x:patternFill patternType="solid">
        <x:fgColor rgb="FFEAF1D0"/>
      </x:patternFill>
    </x:fill>
    <x:fill>
      <x:patternFill patternType="solid">
        <x:fgColor rgb="FFD7EFD8"/>
      </x:patternFill>
    </x:fill>
  </x:fills>
  <x:borders count="1">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200" fontId="5"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0abbb39e37444d" /><Relationship Type="http://schemas.openxmlformats.org/officeDocument/2006/relationships/theme" Target="/xl/theme/theme1.xml" Id="R9914bde868544fe7" /><Relationship Type="http://schemas.openxmlformats.org/officeDocument/2006/relationships/sharedStrings" Target="/xl/sharedStrings.xml" Id="R3520b70898b947bf" /><Relationship Type="http://schemas.openxmlformats.org/officeDocument/2006/relationships/worksheet" Target="/xl/worksheets/sheet1.xml" Id="R7435058a93f84262" /><Relationship Type="http://schemas.openxmlformats.org/officeDocument/2006/relationships/worksheet" Target="/xl/worksheets/sheet2.xml" Id="Rf9a6b562aef24302" /><Relationship Type="http://schemas.openxmlformats.org/officeDocument/2006/relationships/worksheet" Target="/xl/worksheets/sheet3.xml" Id="R02efa88bc4d74f9d" /><Relationship Type="http://schemas.openxmlformats.org/officeDocument/2006/relationships/worksheet" Target="/xl/worksheets/sheet4.xml" Id="R08dcee0771d24a71" /></Relationships>
</file>

<file path=xl/tables/table1.xml><?xml version="1.0" encoding="utf-8"?>
<x:table xmlns:x="http://schemas.openxmlformats.org/spreadsheetml/2006/main" id="3" name="SimilarityGroups" displayName="SimilarityGroups" ref="A5:J72" headerRowCount="1" totalsRowCount="0" totalsRowShown="0">
  <x:autoFilter ref="A5:J72"/>
  <x:tableColumns count="10">
    <x:tableColumn id="1" name="Код"/>
    <x:tableColumn id="2" name="Группа / задача"/>
    <x:tableColumn id="3" name="Уровень сходства"/>
    <x:tableColumn id="4" name="Аминосил"/>
    <x:tableColumn id="5" name="Био-комплекс"/>
    <x:tableColumn id="6" name="5сезонов"/>
    <x:tableColumn id="7" name="Органик Микс"/>
    <x:tableColumn id="8" name="БашИнком"/>
    <x:tableColumn id="9" name="Ключевые различия / ограничения"/>
    <x:tableColumn id="10" name="Позиций в группе"/>
  </x:tableColumns>
  <x:tableStyleInfo name="TableStyleMedium2" showFirstColumn="0" showLastColumn="0" showRowStripes="1" showColumnStripes="0"/>
</x:table>
</file>

<file path=xl/tables/table2.xml><?xml version="1.0" encoding="utf-8"?>
<x:table xmlns:x="http://schemas.openxmlformats.org/spreadsheetml/2006/main" id="1" name="ProductCatalog" displayName="ProductCatalog" ref="A5:N794" headerRowCount="1" totalsRowCount="0" totalsRowShown="0">
  <x:autoFilter ref="A5:N794"/>
  <x:tableColumns count="14">
    <x:tableColumn id="1" name="ID"/>
    <x:tableColumn id="2" name="Компания / каталог"/>
    <x:tableColumn id="3" name="Название (без повтора фасовок)"/>
    <x:tableColumn id="4" name="Тип позиции"/>
    <x:tableColumn id="5" name="Сегмент / происхождение"/>
    <x:tableColumn id="6" name="Коды сопоставлений"/>
    <x:tableColumn id="7" name="Основа / состав — кратко"/>
    <x:tableColumn id="8" name="Полнота сведений"/>
    <x:tableColumn id="9" name="Форма по карточке"/>
    <x:tableColumn id="10" name="Карточек объединено"/>
    <x:tableColumn id="11" name="Результат сопоставления"/>
    <x:tableColumn id="12" name="·"/>
    <x:tableColumn id="13" name="Источник: карточка"/>
    <x:tableColumn id="14" name="Дополнительная этикетка"/>
  </x:tableColumns>
  <x:tableStyleInfo name="TableStyleMedium2" showFirstColumn="0" showLastColumn="0" showRowStripes="1" showColumnStripes="0"/>
</x:table>
</file>

<file path=xl/tables/table3.xml><?xml version="1.0" encoding="utf-8"?>
<x:table xmlns:x="http://schemas.openxmlformats.org/spreadsheetml/2006/main" id="2" name="GroupMemberships" displayName="GroupMemberships" ref="A4:F724" headerRowCount="1" totalsRowCount="0" totalsRowShown="0">
  <x:autoFilter ref="A4:F724"/>
  <x:tableColumns count="6">
    <x:tableColumn id="1" name="Код группы"/>
    <x:tableColumn id="2" name="ID товара"/>
    <x:tableColumn id="3" name="Компания / каталог"/>
    <x:tableColumn id="4" name="Товар"/>
    <x:tableColumn id="5" name="·"/>
    <x:tableColumn id="6" name="Источни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minosil.ru/" TargetMode="External"/><Relationship Id="rId2" Type="http://schemas.openxmlformats.org/officeDocument/2006/relationships/hyperlink" Target="https://bio-kompleks.ru/catalog/vsya_produktsiya/" TargetMode="External"/><Relationship Id="rId3" Type="http://schemas.openxmlformats.org/officeDocument/2006/relationships/hyperlink" Target="https://5-sezonov.ru/" TargetMode="External"/><Relationship Id="rId4" Type="http://schemas.openxmlformats.org/officeDocument/2006/relationships/hyperlink" Target="https://organic-mix.ru/catalog/" TargetMode="External"/><Relationship Id="rId5" Type="http://schemas.openxmlformats.org/officeDocument/2006/relationships/hyperlink" Target="https://www.bashinkom.ru/products/" TargetMode="External"/></Relationships>
</file>

<file path=xl/worksheets/_rels/sheet2.xml.rels>&#65279;<?xml version="1.0" encoding="utf-8"?><Relationships xmlns="http://schemas.openxmlformats.org/package/2006/relationships"><Relationship Type="http://schemas.openxmlformats.org/officeDocument/2006/relationships/table" Target="/xl/tables/table1.xml" Id="Reec8bcf563414d51" /></Relationships>
</file>

<file path=xl/worksheets/_rels/sheet3.xml.rels><?xml version='1.0' encoding='UTF-8' standalone='yes'?>
<Relationships xmlns="http://schemas.openxmlformats.org/package/2006/relationships"><Relationship Type="http://schemas.openxmlformats.org/officeDocument/2006/relationships/table" Target="/xl/tables/table2.xml" Id="Rf036279b05d84c5b"/><Relationship Id="rId2" Type="http://schemas.openxmlformats.org/officeDocument/2006/relationships/hyperlink" Target="https://aminosil.ru/vitamini-dlya-atmosfernyh-tillandsiy-v-forme-spreya" TargetMode="External"/><Relationship Id="rId3" Type="http://schemas.openxmlformats.org/officeDocument/2006/relationships/hyperlink" Target="https://aminosil.ru/vitamini-dlya-gazona-v-granulah" TargetMode="External"/><Relationship Id="rId4" Type="http://schemas.openxmlformats.org/officeDocument/2006/relationships/hyperlink" Target="https://aminosil.ru/vitamini-dlya-gazonov-v-forme-kontsentrata" TargetMode="External"/><Relationship Id="rId5" Type="http://schemas.openxmlformats.org/officeDocument/2006/relationships/hyperlink" Target="https://aminosil.ru/vitaminy-dlya-golubiki-v-forme-granul" TargetMode="External"/><Relationship Id="rId6" Type="http://schemas.openxmlformats.org/officeDocument/2006/relationships/hyperlink" Target="https://aminosil.ru/vitamini-dlya-golubiki-v-forme-kontsentrata" TargetMode="External"/><Relationship Id="rId7" Type="http://schemas.openxmlformats.org/officeDocument/2006/relationships/hyperlink" Target="https://aminosil.ru/vitamini-dlya-gortenzii-i-azalii-v-forme-gelya" TargetMode="External"/><Relationship Id="rId8" Type="http://schemas.openxmlformats.org/officeDocument/2006/relationships/hyperlink" Target="https://aminosil.ru/vitamini-dlya-gortenzii-i-azalii-v-forme-granul" TargetMode="External"/><Relationship Id="rId9" Type="http://schemas.openxmlformats.org/officeDocument/2006/relationships/hyperlink" Target="https://aminosil.ru/vitamini-dlya-gortenzii-i-azalii-forme-k" TargetMode="External"/><Relationship Id="rId10" Type="http://schemas.openxmlformats.org/officeDocument/2006/relationships/hyperlink" Target="https://aminosil.ru/vitamini-dlya-dekorativno-listvennih-rasteniy-gel" TargetMode="External"/><Relationship Id="rId11" Type="http://schemas.openxmlformats.org/officeDocument/2006/relationships/hyperlink" Target="https://aminosil.ru/vitamini-dlya-dekorativno-listvennih-rasteniy-v-granulah" TargetMode="External"/><Relationship Id="rId12" Type="http://schemas.openxmlformats.org/officeDocument/2006/relationships/hyperlink" Target="https://aminosil.ru/vitamini-dlya-dekorativno-listvennih-rasteniy-koncentrat" TargetMode="External"/><Relationship Id="rId13" Type="http://schemas.openxmlformats.org/officeDocument/2006/relationships/hyperlink" Target="https://aminosil.ru/vitaminy-dlya-zamiokulkasa-v-forme-koncentrata" TargetMode="External"/><Relationship Id="rId14" Type="http://schemas.openxmlformats.org/officeDocument/2006/relationships/hyperlink" Target="https://aminosil.ru/vitamini-dlya-kaktusov-i-sukkulentov-v-granulah" TargetMode="External"/><Relationship Id="rId15" Type="http://schemas.openxmlformats.org/officeDocument/2006/relationships/hyperlink" Target="https://aminosil.ru/vitamini-dlya-kaktusov-i-sukkulentov-kontsentrat" TargetMode="External"/><Relationship Id="rId16" Type="http://schemas.openxmlformats.org/officeDocument/2006/relationships/hyperlink" Target="https://aminosil.ru/vitamini-dlya-klubniki-v-granulah" TargetMode="External"/><Relationship Id="rId17" Type="http://schemas.openxmlformats.org/officeDocument/2006/relationships/hyperlink" Target="https://aminosil.ru/vitamini-dlya-klubniki-v-forme-kontsentrata" TargetMode="External"/><Relationship Id="rId18" Type="http://schemas.openxmlformats.org/officeDocument/2006/relationships/hyperlink" Target="https://aminosil.ru/vitamini-dlya-luka-i-chesnoka-forme-kontsentrata" TargetMode="External"/><Relationship Id="rId19" Type="http://schemas.openxmlformats.org/officeDocument/2006/relationships/hyperlink" Target="https://aminosil.ru/vitamini-dlya-ovoschei-granulah" TargetMode="External"/><Relationship Id="rId20" Type="http://schemas.openxmlformats.org/officeDocument/2006/relationships/hyperlink" Target="https://aminosil.ru/vitamini-dlya-ovoschei-v-forme-kontsentrata" TargetMode="External"/><Relationship Id="rId21" Type="http://schemas.openxmlformats.org/officeDocument/2006/relationships/hyperlink" Target="https://aminosil.ru/vitamini-dlya-rassadi-v-granulah" TargetMode="External"/><Relationship Id="rId22" Type="http://schemas.openxmlformats.org/officeDocument/2006/relationships/hyperlink" Target="https://aminosil.ru/vitamini-dlya-ovoschei-i-rassadi-v-forme-gelya" TargetMode="External"/><Relationship Id="rId23" Type="http://schemas.openxmlformats.org/officeDocument/2006/relationships/hyperlink" Target="https://aminosil.ru/vitamini-dlya-ogurtsov-v-forme-kontsentrata" TargetMode="External"/><Relationship Id="rId24" Type="http://schemas.openxmlformats.org/officeDocument/2006/relationships/hyperlink" Target="https://aminosil.ru/vitamini-dlya-ogurtsov-kabachkov-v-granulah" TargetMode="External"/><Relationship Id="rId25" Type="http://schemas.openxmlformats.org/officeDocument/2006/relationships/hyperlink" Target="https://aminosil.ru/vitamini-dlya-orhidei-v-granulah" TargetMode="External"/><Relationship Id="rId26" Type="http://schemas.openxmlformats.org/officeDocument/2006/relationships/hyperlink" Target="https://aminosil.ru/vitamini-dlya-orhidei-v-forme-gelya" TargetMode="External"/><Relationship Id="rId27" Type="http://schemas.openxmlformats.org/officeDocument/2006/relationships/hyperlink" Target="https://aminosil.ru/vitamini-dlya-orhidei-v-forme-kontsentra" TargetMode="External"/><Relationship Id="rId28" Type="http://schemas.openxmlformats.org/officeDocument/2006/relationships/hyperlink" Target="https://aminosil.ru/vitamini-dlya-petunii-v-granulah" TargetMode="External"/><Relationship Id="rId29" Type="http://schemas.openxmlformats.org/officeDocument/2006/relationships/hyperlink" Target="https://aminosil.ru/vitamini-dlya-petunii-v-forme-kontsentra" TargetMode="External"/><Relationship Id="rId30" Type="http://schemas.openxmlformats.org/officeDocument/2006/relationships/hyperlink" Target="https://aminosil.ru/vitamini-dlya-pionov-v-forme-granul" TargetMode="External"/><Relationship Id="rId31" Type="http://schemas.openxmlformats.org/officeDocument/2006/relationships/hyperlink" Target="https://aminosil.ru/vitamini-dlya-pionov-forme-kontsentrata" TargetMode="External"/><Relationship Id="rId32" Type="http://schemas.openxmlformats.org/officeDocument/2006/relationships/hyperlink" Target="https://aminosil.ru/vitamini-dlya-rassady-v-forme-kontsentra" TargetMode="External"/><Relationship Id="rId33" Type="http://schemas.openxmlformats.org/officeDocument/2006/relationships/hyperlink" Target="https://aminosil.ru/vitamini-dlya-roz-v-granulah" TargetMode="External"/><Relationship Id="rId34" Type="http://schemas.openxmlformats.org/officeDocument/2006/relationships/hyperlink" Target="https://aminosil.ru/vitamini-dlya-roz-v-forme-gelya" TargetMode="External"/><Relationship Id="rId35" Type="http://schemas.openxmlformats.org/officeDocument/2006/relationships/hyperlink" Target="https://aminosil.ru/vitamini-dlya-roz-forme-kontsentrata" TargetMode="External"/><Relationship Id="rId36" Type="http://schemas.openxmlformats.org/officeDocument/2006/relationships/hyperlink" Target="https://aminosil.ru/vitamini-dlya-tomatov-v-forme-kontsentrata" TargetMode="External"/><Relationship Id="rId37" Type="http://schemas.openxmlformats.org/officeDocument/2006/relationships/hyperlink" Target="https://aminosil.ru/vitamini-dlya-tomatov-percev-v-granulah" TargetMode="External"/><Relationship Id="rId38" Type="http://schemas.openxmlformats.org/officeDocument/2006/relationships/hyperlink" Target="https://aminosil.ru/vitamini-dlya-tui-v-forme-kontsentra" TargetMode="External"/><Relationship Id="rId39" Type="http://schemas.openxmlformats.org/officeDocument/2006/relationships/hyperlink" Target="https://aminosil.ru/vitamini-dlya-fialok-v-forme-gelya" TargetMode="External"/><Relationship Id="rId40" Type="http://schemas.openxmlformats.org/officeDocument/2006/relationships/hyperlink" Target="https://aminosil.ru/vitamini-dlya-fialok-v-forme-kontsentrata" TargetMode="External"/><Relationship Id="rId41" Type="http://schemas.openxmlformats.org/officeDocument/2006/relationships/hyperlink" Target="https://aminosil.ru/vitamini-dlya-fikusov-i-palm-v-forme-kontsentrata" TargetMode="External"/><Relationship Id="rId42" Type="http://schemas.openxmlformats.org/officeDocument/2006/relationships/hyperlink" Target="https://aminosil.ru/vitamini-dlya-hvoinih-v-forme-kontsentra" TargetMode="External"/><Relationship Id="rId43" Type="http://schemas.openxmlformats.org/officeDocument/2006/relationships/hyperlink" Target="https://aminosil.ru/vitamini-dlya-hvoinih-rastenii-v-granulah" TargetMode="External"/><Relationship Id="rId44" Type="http://schemas.openxmlformats.org/officeDocument/2006/relationships/hyperlink" Target="https://aminosil.ru/-vitamini-dlya-hvoinih-rastenii-v-forme-gelya" TargetMode="External"/><Relationship Id="rId45" Type="http://schemas.openxmlformats.org/officeDocument/2006/relationships/hyperlink" Target="https://aminosil.ru/vitamini-dlya-tsvetov-v-granulah" TargetMode="External"/><Relationship Id="rId46" Type="http://schemas.openxmlformats.org/officeDocument/2006/relationships/hyperlink" Target="https://aminosil.ru/vitamini-dlya-tsvetov-v-forme-gelya" TargetMode="External"/><Relationship Id="rId47" Type="http://schemas.openxmlformats.org/officeDocument/2006/relationships/hyperlink" Target="https://aminosil.ru/vitamini-dlya-tsvetov-forme-kontsentrata" TargetMode="External"/><Relationship Id="rId48" Type="http://schemas.openxmlformats.org/officeDocument/2006/relationships/hyperlink" Target="https://aminosil.ru/vitamini-dlya-tsitrusovih-v-granulah" TargetMode="External"/><Relationship Id="rId49" Type="http://schemas.openxmlformats.org/officeDocument/2006/relationships/hyperlink" Target="https://aminosil.ru/vitamini-dlya-tsitrusovih-v-forme-kontsentrata" TargetMode="External"/><Relationship Id="rId50" Type="http://schemas.openxmlformats.org/officeDocument/2006/relationships/hyperlink" Target="https://aminosil.ru/vitamini-universalnie-v-forme-gelya" TargetMode="External"/><Relationship Id="rId51" Type="http://schemas.openxmlformats.org/officeDocument/2006/relationships/hyperlink" Target="https://aminosil.ru/vitamini-universalnie-v-granulah" TargetMode="External"/><Relationship Id="rId52" Type="http://schemas.openxmlformats.org/officeDocument/2006/relationships/hyperlink" Target="https://aminosil.ru/vitamini-universalniye-osennie-v-forme-granul" TargetMode="External"/><Relationship Id="rId53" Type="http://schemas.openxmlformats.org/officeDocument/2006/relationships/hyperlink" Target="https://aminosil.ru/vitamini-universalnie-v-forme-kontsentra" TargetMode="External"/><Relationship Id="rId54" Type="http://schemas.openxmlformats.org/officeDocument/2006/relationships/hyperlink" Target="https://aminosil.ru/vitamini-universalniye-osennie-v-forme-kontsentra" TargetMode="External"/><Relationship Id="rId55" Type="http://schemas.openxmlformats.org/officeDocument/2006/relationships/hyperlink" Target="https://aminosil.ru/sprei-aminosil-dlya-gortenzii" TargetMode="External"/><Relationship Id="rId56" Type="http://schemas.openxmlformats.org/officeDocument/2006/relationships/hyperlink" Target="https://aminosil.ru/sprei-aminosil-dlya-listvennih-rastenii" TargetMode="External"/><Relationship Id="rId57" Type="http://schemas.openxmlformats.org/officeDocument/2006/relationships/hyperlink" Target="https://aminosil.ru/sprei-aminosil-dlya-orhidei" TargetMode="External"/><Relationship Id="rId58" Type="http://schemas.openxmlformats.org/officeDocument/2006/relationships/hyperlink" Target="https://aminosil.ru/sprei-aminosil-dlya-petunii" TargetMode="External"/><Relationship Id="rId59" Type="http://schemas.openxmlformats.org/officeDocument/2006/relationships/hyperlink" Target="https://aminosil.ru/sprei-aminosil-dlya-rassadi" TargetMode="External"/><Relationship Id="rId60" Type="http://schemas.openxmlformats.org/officeDocument/2006/relationships/hyperlink" Target="https://aminosil.ru/sprei-aminosil-dlya-roz" TargetMode="External"/><Relationship Id="rId61" Type="http://schemas.openxmlformats.org/officeDocument/2006/relationships/hyperlink" Target="https://aminosil.ru/sprei-aminosil-dlya-tsvetov" TargetMode="External"/><Relationship Id="rId62" Type="http://schemas.openxmlformats.org/officeDocument/2006/relationships/hyperlink" Target="https://aminosil.ru/sprei-aminosil-dlya-tsitrusovih" TargetMode="External"/><Relationship Id="rId63" Type="http://schemas.openxmlformats.org/officeDocument/2006/relationships/hyperlink" Target="https://aminosil.ru/sprei-aminosil-universalnii" TargetMode="External"/><Relationship Id="rId64" Type="http://schemas.openxmlformats.org/officeDocument/2006/relationships/hyperlink" Target="https://bio-kompleks.ru/catalog/vsya_produktsiya/akardo_kkr_ot_vredit_paut_kleshch_shchitovka_tsikadka_medyanitsa_yablonya_vinograd/" TargetMode="External"/><Relationship Id="rId65" Type="http://schemas.openxmlformats.org/officeDocument/2006/relationships/hyperlink" Target="https://bio-kompleks.ru/catalog/vsya_produktsiya/apeks_mke_ot_vredit_belokrylka_plodozhorka_shchitovka_ogurtsy_tomaty_yablonya/" TargetMode="External"/><Relationship Id="rId66" Type="http://schemas.openxmlformats.org/officeDocument/2006/relationships/hyperlink" Target="https://bio-kompleks.ru/catalog/vsya_produktsiya/beretta_md_ot_vredit_kartofelya_kolor_zhuk_i_lichinki_sistemno_kont/" TargetMode="External"/><Relationship Id="rId67" Type="http://schemas.openxmlformats.org/officeDocument/2006/relationships/hyperlink" Target="https://bio-kompleks.ru/catalog/vsya_produktsiya/bio_kompleks_biogumus/" TargetMode="External"/><Relationship Id="rId68" Type="http://schemas.openxmlformats.org/officeDocument/2006/relationships/hyperlink" Target="https://bio-kompleks.ru/catalog/vsya_produktsiya/bio_kompleks_bokashi_/" TargetMode="External"/><Relationship Id="rId69" Type="http://schemas.openxmlformats.org/officeDocument/2006/relationships/hyperlink" Target="https://bio-kompleks.ru/catalog/vsya_produktsiya/bio_kompleks_gumat_kaliya_/" TargetMode="External"/><Relationship Id="rId70" Type="http://schemas.openxmlformats.org/officeDocument/2006/relationships/hyperlink" Target="https://bio-kompleks.ru/catalog/vsya_produktsiya/bio_kompleks_diatomit_sadovyy_/" TargetMode="External"/><Relationship Id="rId71" Type="http://schemas.openxmlformats.org/officeDocument/2006/relationships/hyperlink" Target="https://bio-kompleks.ru/catalog/vsya_produktsiya/bio_kompleks_donor_udobrenie_so_svoystvami_fungitsida/" TargetMode="External"/><Relationship Id="rId72" Type="http://schemas.openxmlformats.org/officeDocument/2006/relationships/hyperlink" Target="https://bio-kompleks.ru/catalog/vsya_produktsiya/bio_kompleks_zdorovaya_vershinka_tm_mag_10_g_15/" TargetMode="External"/><Relationship Id="rId73" Type="http://schemas.openxmlformats.org/officeDocument/2006/relationships/hyperlink" Target="https://bio-kompleks.ru/catalog/vsya_produktsiya/bio_kompleks_zdorovaya_pochva_tm_udobryasha/" TargetMode="External"/><Relationship Id="rId74" Type="http://schemas.openxmlformats.org/officeDocument/2006/relationships/hyperlink" Target="https://bio-kompleks.ru/catalog/vsya_produktsiya/bio_kompleks_zola_podsolnechnika/" TargetMode="External"/><Relationship Id="rId75" Type="http://schemas.openxmlformats.org/officeDocument/2006/relationships/hyperlink" Target="https://bio-kompleks.ru/catalog/vsya_produktsiya/bio_kompleks_kostnaya_muka/" TargetMode="External"/><Relationship Id="rId76" Type="http://schemas.openxmlformats.org/officeDocument/2006/relationships/hyperlink" Target="https://bio-kompleks.ru/catalog/vsya_produktsiya/bio_kompleks_krovyanaya_muka/" TargetMode="External"/><Relationship Id="rId77" Type="http://schemas.openxmlformats.org/officeDocument/2006/relationships/hyperlink" Target="https://bio-kompleks.ru/catalog/vsya_produktsiya/bio_kompleks_mag_premium_ot_vrediteley_pulverizator_1_l_14/" TargetMode="External"/><Relationship Id="rId78" Type="http://schemas.openxmlformats.org/officeDocument/2006/relationships/hyperlink" Target="https://bio-kompleks.ru/catalog/vsya_produktsiya/bio_kompleks_mag_sredstvo_ot_belokrylki/" TargetMode="External"/><Relationship Id="rId79" Type="http://schemas.openxmlformats.org/officeDocument/2006/relationships/hyperlink" Target="https://bio-kompleks.ru/catalog/vsya_produktsiya/bio_kompleks_mag_sredstvo_ot_pautinnogo_kleshcha/" TargetMode="External"/><Relationship Id="rId80" Type="http://schemas.openxmlformats.org/officeDocument/2006/relationships/hyperlink" Target="https://bio-kompleks.ru/catalog/vsya_produktsiya/bio_kompleks_ovoshchi_bum/" TargetMode="External"/><Relationship Id="rId81" Type="http://schemas.openxmlformats.org/officeDocument/2006/relationships/hyperlink" Target="https://bio-kompleks.ru/catalog/vsya_produktsiya/bio_kompleks_omu_vesna_leto_universalnoe_tm_biosha/" TargetMode="External"/><Relationship Id="rId82" Type="http://schemas.openxmlformats.org/officeDocument/2006/relationships/hyperlink" Target="https://bio-kompleks.ru/catalog/vsya_produktsiya/bio_kompleks_omu_dlya_gortenziy_rododendronov_azaliy_tm_biosha/" TargetMode="External"/><Relationship Id="rId83" Type="http://schemas.openxmlformats.org/officeDocument/2006/relationships/hyperlink" Target="https://bio-kompleks.ru/catalog/vsya_produktsiya/bio_kompleks_omu_dlya_klematisov_tm_biosha/" TargetMode="External"/><Relationship Id="rId84" Type="http://schemas.openxmlformats.org/officeDocument/2006/relationships/hyperlink" Target="https://bio-kompleks.ru/catalog/vsya_produktsiya/bio_kompleks_omu_dlya_klubniki_i_zemlyaniki_tm_biosha/" TargetMode="External"/><Relationship Id="rId85" Type="http://schemas.openxmlformats.org/officeDocument/2006/relationships/hyperlink" Target="https://bio-kompleks.ru/catalog/vsya_produktsiya/bio_kompleks_omu_dlya_magnoliy_tm_biosha/" TargetMode="External"/><Relationship Id="rId86" Type="http://schemas.openxmlformats.org/officeDocument/2006/relationships/hyperlink" Target="https://bio-kompleks.ru/catalog/vsya_produktsiya/bio_kompleks_omu_dlya_ogurtsov_kabachkov_arbuzov_i_dyn_tm_biosha/" TargetMode="External"/><Relationship Id="rId87" Type="http://schemas.openxmlformats.org/officeDocument/2006/relationships/hyperlink" Target="https://bio-kompleks.ru/catalog/vsya_produktsiya/bio_kompleks_omu_dlya_plodovo_yagodnykh_derevev_i_kustarnikov_tm_biosha/" TargetMode="External"/><Relationship Id="rId88" Type="http://schemas.openxmlformats.org/officeDocument/2006/relationships/hyperlink" Target="https://bio-kompleks.ru/catalog/vsya_produktsiya/bio_kompleks_omu_dlya_roz_pionov_tm_biosha/" TargetMode="External"/><Relationship Id="rId89" Type="http://schemas.openxmlformats.org/officeDocument/2006/relationships/hyperlink" Target="https://bio-kompleks.ru/catalog/vsya_produktsiya/bio_kompleks_omu_dlya_tomatov_pertsev_i_baklazhanov_tm_biosha/" TargetMode="External"/><Relationship Id="rId90" Type="http://schemas.openxmlformats.org/officeDocument/2006/relationships/hyperlink" Target="https://bio-kompleks.ru/catalog/vsya_produktsiya/bio_kompleks_omu_dlya_khvoynykh_kultur_tm_biosha/" TargetMode="External"/><Relationship Id="rId91" Type="http://schemas.openxmlformats.org/officeDocument/2006/relationships/hyperlink" Target="https://bio-kompleks.ru/catalog/vsya_produktsiya/bio_kompleks_omu_osen_universalnoe_tm_biosha/" TargetMode="External"/><Relationship Id="rId92" Type="http://schemas.openxmlformats.org/officeDocument/2006/relationships/hyperlink" Target="https://bio-kompleks.ru/catalog/vsya_produktsiya/bio_kompleks_petuniya_bum/" TargetMode="External"/><Relationship Id="rId93" Type="http://schemas.openxmlformats.org/officeDocument/2006/relationships/hyperlink" Target="https://bio-kompleks.ru/catalog/vsya_produktsiya/bio_kompleks_rassada_bum/" TargetMode="External"/><Relationship Id="rId94" Type="http://schemas.openxmlformats.org/officeDocument/2006/relationships/hyperlink" Target="https://bio-kompleks.ru/catalog/vsya_produktsiya/bio_kompleks_rybnaya_muka/" TargetMode="External"/><Relationship Id="rId95" Type="http://schemas.openxmlformats.org/officeDocument/2006/relationships/hyperlink" Target="https://bio-kompleks.ru/catalog/vsya_produktsiya/bio_kompleks_sapropel_superkontsentrat_/" TargetMode="External"/><Relationship Id="rId96" Type="http://schemas.openxmlformats.org/officeDocument/2006/relationships/hyperlink" Target="https://bio-kompleks.ru/catalog/vsya_produktsiya/bio_kompleks_serebromedin_/" TargetMode="External"/><Relationship Id="rId97" Type="http://schemas.openxmlformats.org/officeDocument/2006/relationships/hyperlink" Target="https://bio-kompleks.ru/catalog/vsya_produktsiya/bio_kompleks_sila_aminokislot_tm_udobryasha/" TargetMode="External"/><Relationship Id="rId98" Type="http://schemas.openxmlformats.org/officeDocument/2006/relationships/hyperlink" Target="https://bio-kompleks.ru/catalog/vsya_produktsiya/bio_kompleks_stimulyator_rosta_i_immuniteta_tm_mag_50g_16/" TargetMode="External"/><Relationship Id="rId99" Type="http://schemas.openxmlformats.org/officeDocument/2006/relationships/hyperlink" Target="https://bio-kompleks.ru/catalog/vsya_produktsiya/bio_kompleks_stimulyator_tsveteniya_i_plodonosheniya_tm_mag_46g_16/" TargetMode="External"/><Relationship Id="rId100" Type="http://schemas.openxmlformats.org/officeDocument/2006/relationships/hyperlink" Target="https://bio-kompleks.ru/catalog/vsya_produktsiya/bio_kompleks_superkaltsiy_raskislitel_kaltsievo_magnievoe_udobrenie/" TargetMode="External"/><Relationship Id="rId101" Type="http://schemas.openxmlformats.org/officeDocument/2006/relationships/hyperlink" Target="https://bio-kompleks.ru/catalog/vsya_produktsiya/bio_kompleks_superkompost/" TargetMode="External"/><Relationship Id="rId102" Type="http://schemas.openxmlformats.org/officeDocument/2006/relationships/hyperlink" Target="https://bio-kompleks.ru/catalog/vsya_produktsiya/bio_kompleks_suspenziya_khlorelly_kontsentrat/" TargetMode="External"/><Relationship Id="rId103" Type="http://schemas.openxmlformats.org/officeDocument/2006/relationships/hyperlink" Target="https://bio-kompleks.ru/catalog/vsya_produktsiya/bio_kompleks_udobrenie_dlya_anturiuma_sekret_schastya_75_g_16/" TargetMode="External"/><Relationship Id="rId104" Type="http://schemas.openxmlformats.org/officeDocument/2006/relationships/hyperlink" Target="https://bio-kompleks.ru/catalog/vsya_produktsiya/bio_kompleks_udobrenie_dlya_zamiokulkasa_sekret_schastya_75_g_16/" TargetMode="External"/><Relationship Id="rId105" Type="http://schemas.openxmlformats.org/officeDocument/2006/relationships/hyperlink" Target="https://bio-kompleks.ru/catalog/vsya_produktsiya/bio_kompleks_udobrenie_dlya_orkhidei_sekret_schastya_75_g_16/" TargetMode="External"/><Relationship Id="rId106" Type="http://schemas.openxmlformats.org/officeDocument/2006/relationships/hyperlink" Target="https://bio-kompleks.ru/catalog/vsya_produktsiya/bio_kompleks_udobrenie_dlya_spatifilluma_sekret_schastya_75_g_16/" TargetMode="External"/><Relationship Id="rId107" Type="http://schemas.openxmlformats.org/officeDocument/2006/relationships/hyperlink" Target="https://bio-kompleks.ru/catalog/vsya_produktsiya/bio_kompleks_udobrenie_dlya_sukkulentov_i_kaktusov_sekret_schastya_75_g_16/" TargetMode="External"/><Relationship Id="rId108" Type="http://schemas.openxmlformats.org/officeDocument/2006/relationships/hyperlink" Target="https://bio-kompleks.ru/catalog/vsya_produktsiya/bio_kompleks_udobrenie_dlya_fialki_sekret_schastya_75_g_16/" TargetMode="External"/><Relationship Id="rId109" Type="http://schemas.openxmlformats.org/officeDocument/2006/relationships/hyperlink" Target="https://bio-kompleks.ru/catalog/vsya_produktsiya/bio_kompleks_udobrenie_zdorovaya_listva_sekret_schastya_75_g_16_nf_00002013_r_10_01_000007/" TargetMode="External"/><Relationship Id="rId110" Type="http://schemas.openxmlformats.org/officeDocument/2006/relationships/hyperlink" Target="https://bio-kompleks.ru/catalog/vsya_produktsiya/bio_kompleks_udobrenie_organicheskoe_dlya_vinograda_tm_udobryasha/" TargetMode="External"/><Relationship Id="rId111" Type="http://schemas.openxmlformats.org/officeDocument/2006/relationships/hyperlink" Target="https://bio-kompleks.ru/catalog/vsya_produktsiya/bio_kompleks_udobrenie_organicheskoe_dlya_golubiki_brusniki_klyukvy_cherniki_tm_udobryasha/" TargetMode="External"/><Relationship Id="rId112" Type="http://schemas.openxmlformats.org/officeDocument/2006/relationships/hyperlink" Target="https://bio-kompleks.ru/catalog/vsya_produktsiya/bio_kompleks_udobrenie_organicheskoe_dlya_gortenziy_tm_udobryasha/" TargetMode="External"/><Relationship Id="rId113" Type="http://schemas.openxmlformats.org/officeDocument/2006/relationships/hyperlink" Target="https://bio-kompleks.ru/catalog/vsya_produktsiya/bio_kompleks_udobrenie_organicheskoe_dlya_kartofelya_tm_udobryasha/" TargetMode="External"/><Relationship Id="rId114" Type="http://schemas.openxmlformats.org/officeDocument/2006/relationships/hyperlink" Target="https://bio-kompleks.ru/catalog/vsya_produktsiya/bio_kompleks_udobrenie_organicheskoe_dlya_luka_i_chesnoka_tm_udobryasha/" TargetMode="External"/><Relationship Id="rId115" Type="http://schemas.openxmlformats.org/officeDocument/2006/relationships/hyperlink" Target="https://bio-kompleks.ru/catalog/vsya_produktsiya/bio_kompleks_udobrenie_organicheskoe_dlya_ogurtsov_i_kabachkov_tm_udobryasha/" TargetMode="External"/><Relationship Id="rId116" Type="http://schemas.openxmlformats.org/officeDocument/2006/relationships/hyperlink" Target="https://bio-kompleks.ru/catalog/vsya_produktsiya/bio_kompleks_udobrenie_organicheskoe_dlya_tomatov_pertsev_i_baklazhanov_tm_udobryasha/" TargetMode="External"/><Relationship Id="rId117" Type="http://schemas.openxmlformats.org/officeDocument/2006/relationships/hyperlink" Target="https://bio-kompleks.ru/catalog/vsya_produktsiya/bio_kompleks_udobrenie_organicheskoe_dlya_tsvetov_tm_udobryasha/" TargetMode="External"/><Relationship Id="rId118" Type="http://schemas.openxmlformats.org/officeDocument/2006/relationships/hyperlink" Target="https://bio-kompleks.ru/catalog/vsya_produktsiya/bio_kompleks_udobrenie_organicheskoe_dlya_yagod_tm_udobryasha/" TargetMode="External"/><Relationship Id="rId119" Type="http://schemas.openxmlformats.org/officeDocument/2006/relationships/hyperlink" Target="https://bio-kompleks.ru/catalog/vsya_produktsiya/bio_kompleks_udobrenie_organicheskoe_morskoe_assorti_tm_udobryasha/" TargetMode="External"/><Relationship Id="rId120" Type="http://schemas.openxmlformats.org/officeDocument/2006/relationships/hyperlink" Target="https://bio-kompleks.ru/catalog/vsya_produktsiya/bio_kompleks_udobrenie_organicheskoe_osennee_tm_udobryasha/" TargetMode="External"/><Relationship Id="rId121" Type="http://schemas.openxmlformats.org/officeDocument/2006/relationships/hyperlink" Target="https://bio-kompleks.ru/catalog/vsya_produktsiya/bio_kompleks_udobrenie_organicheskoe_universalnoe_tm_udobryasha/" TargetMode="External"/><Relationship Id="rId122" Type="http://schemas.openxmlformats.org/officeDocument/2006/relationships/hyperlink" Target="https://bio-kompleks.ru/catalog/vsya_produktsiya/bio_kompleks_udobrenie_pyshnoe_tsvetenie_sekret_schastya_75_g_16/" TargetMode="External"/><Relationship Id="rId123" Type="http://schemas.openxmlformats.org/officeDocument/2006/relationships/hyperlink" Target="https://bio-kompleks.ru/catalog/vsya_produktsiya/bio_kompleks_fosforitnaya_muka/" TargetMode="External"/><Relationship Id="rId124" Type="http://schemas.openxmlformats.org/officeDocument/2006/relationships/hyperlink" Target="https://bio-kompleks.ru/catalog/vsya_produktsiya/bio_kompleks_tsvety_bum/" TargetMode="External"/><Relationship Id="rId125" Type="http://schemas.openxmlformats.org/officeDocument/2006/relationships/hyperlink" Target="https://bio-kompleks.ru/catalog/vsya_produktsiya/bio_kompleks_tseolit/" TargetMode="External"/><Relationship Id="rId126" Type="http://schemas.openxmlformats.org/officeDocument/2006/relationships/hyperlink" Target="https://bio-kompleks.ru/catalog/vsya_produktsiya/bio_kompleks_ekbi_1_dlya_semyan_i_korney_rassady/" TargetMode="External"/><Relationship Id="rId127" Type="http://schemas.openxmlformats.org/officeDocument/2006/relationships/hyperlink" Target="https://bio-kompleks.ru/catalog/vsya_produktsiya/bio_kompleks_ekbi_2_dlya_klubney_lukovits_i_korney_sazhentsev/" TargetMode="External"/><Relationship Id="rId128" Type="http://schemas.openxmlformats.org/officeDocument/2006/relationships/hyperlink" Target="https://bio-kompleks.ru/catalog/vsya_produktsiya/bio_kompleks_ekbi_3_dlya_sadovykh_ogorodnykh_i_domashnikh_rasteniy/" TargetMode="External"/><Relationship Id="rId129" Type="http://schemas.openxmlformats.org/officeDocument/2006/relationships/hyperlink" Target="https://bio-kompleks.ru/catalog/vsya_produktsiya/bio_kompleks_ekbi_4_dlya_listvy_i_stvolov_kustarnikov_i_derevev/" TargetMode="External"/><Relationship Id="rId130" Type="http://schemas.openxmlformats.org/officeDocument/2006/relationships/hyperlink" Target="https://bio-kompleks.ru/catalog/vsya_produktsiya/bio_kompleks_ekstrakt_kedra_/" TargetMode="External"/><Relationship Id="rId131" Type="http://schemas.openxmlformats.org/officeDocument/2006/relationships/hyperlink" Target="https://bio-kompleks.ru/catalog/vsya_produktsiya/bio_kompleks_ekstrakt_khvoi_/" TargetMode="External"/><Relationship Id="rId132" Type="http://schemas.openxmlformats.org/officeDocument/2006/relationships/hyperlink" Target="https://bio-kompleks.ru/catalog/vsya_produktsiya/bio_kompleks_yagody_bum/" TargetMode="External"/><Relationship Id="rId133" Type="http://schemas.openxmlformats.org/officeDocument/2006/relationships/hyperlink" Target="https://bio-kompleks.ru/catalog/vsya_produktsiya/bio_kompleks_tm_listoriya_vinograd_professionalnoe_mineralnoe_udobrenie_npk_0_40_25/" TargetMode="External"/><Relationship Id="rId134" Type="http://schemas.openxmlformats.org/officeDocument/2006/relationships/hyperlink" Target="https://bio-kompleks.ru/catalog/vsya_produktsiya/bio_kompleks_tm_listoriya_gazon_professionalnoe_mineralnoe_udobrenie_npk_19_19_19/" TargetMode="External"/><Relationship Id="rId135" Type="http://schemas.openxmlformats.org/officeDocument/2006/relationships/hyperlink" Target="https://bio-kompleks.ru/catalog/vsya_produktsiya/bio_kompleks_tm_listoriya_ovoshchi_professionalnoe_mineralnoe_udobrenie_npk_6_18_37/" TargetMode="External"/><Relationship Id="rId136" Type="http://schemas.openxmlformats.org/officeDocument/2006/relationships/hyperlink" Target="https://bio-kompleks.ru/catalog/vsya_produktsiya/bio_kompleks_tm_listoriya_osen_professionalnoe_mineralnoe_udobrenie_npk_0_36_24/" TargetMode="External"/><Relationship Id="rId137" Type="http://schemas.openxmlformats.org/officeDocument/2006/relationships/hyperlink" Target="https://bio-kompleks.ru/catalog/vsya_produktsiya/bio_kompleks_tm_listoriya_plody/" TargetMode="External"/><Relationship Id="rId138" Type="http://schemas.openxmlformats.org/officeDocument/2006/relationships/hyperlink" Target="https://bio-kompleks.ru/catalog/vsya_produktsiya/bio_kompleks_tm_listoriya_rassada/" TargetMode="External"/><Relationship Id="rId139" Type="http://schemas.openxmlformats.org/officeDocument/2006/relationships/hyperlink" Target="https://bio-kompleks.ru/catalog/vsya_produktsiya/bio_kompleks_tm_listoriya_tomat/" TargetMode="External"/><Relationship Id="rId140" Type="http://schemas.openxmlformats.org/officeDocument/2006/relationships/hyperlink" Target="https://bio-kompleks.ru/catalog/vsya_produktsiya/bio_kompleks_tm_listoriya_universalnoe_professionalnoe_mineralnoe_udobrenie_npk_19_19_19/" TargetMode="External"/><Relationship Id="rId141" Type="http://schemas.openxmlformats.org/officeDocument/2006/relationships/hyperlink" Target="https://bio-kompleks.ru/catalog/vsya_produktsiya/bio_kompleks_tm_listoriya_khvoynye_vechnozelyenye/" TargetMode="External"/><Relationship Id="rId142" Type="http://schemas.openxmlformats.org/officeDocument/2006/relationships/hyperlink" Target="https://bio-kompleks.ru/catalog/vsya_produktsiya/bio_kompleks_tm_listoriya_tsvety/" TargetMode="External"/><Relationship Id="rId143" Type="http://schemas.openxmlformats.org/officeDocument/2006/relationships/hyperlink" Target="https://bio-kompleks.ru/catalog/vsya_produktsiya/bio_kompleks_tm_listoriya_yagody/" TargetMode="External"/><Relationship Id="rId144" Type="http://schemas.openxmlformats.org/officeDocument/2006/relationships/hyperlink" Target="https://bio-kompleks.ru/catalog/vsya_produktsiya/biokokteyl_dlya_adeniuma_komnatnyy_fenshuy_tm_happy/" TargetMode="External"/><Relationship Id="rId145" Type="http://schemas.openxmlformats.org/officeDocument/2006/relationships/hyperlink" Target="https://bio-kompleks.ru/catalog/vsya_produktsiya/biokokteyl-dlya-alokazii-komnatnyy-fenshuy-tm-happy/" TargetMode="External"/><Relationship Id="rId146" Type="http://schemas.openxmlformats.org/officeDocument/2006/relationships/hyperlink" Target="https://bio-kompleks.ru/catalog/vsya_produktsiya/biokokteyl-dlya-anturiuma-komnatnyy-fenshuy-tm-happy/" TargetMode="External"/><Relationship Id="rId147" Type="http://schemas.openxmlformats.org/officeDocument/2006/relationships/hyperlink" Target="https://bio-kompleks.ru/catalog/vsya_produktsiya/biokokteyl-dlya-vsekh-vidov-zeleni-tm-biosha/" TargetMode="External"/><Relationship Id="rId148" Type="http://schemas.openxmlformats.org/officeDocument/2006/relationships/hyperlink" Target="https://bio-kompleks.ru/catalog/vsya_produktsiya/biokokteyl-dlya-golubiki-brusniki-i-klyukvy-tm-biosha/" TargetMode="External"/><Relationship Id="rId149" Type="http://schemas.openxmlformats.org/officeDocument/2006/relationships/hyperlink" Target="https://bio-kompleks.ru/catalog/vsya_produktsiya/biokokteyl_dlya_gortenziy_azaliy_i_rododendronov_tm_vitaminus/" TargetMode="External"/><Relationship Id="rId150" Type="http://schemas.openxmlformats.org/officeDocument/2006/relationships/hyperlink" Target="https://bio-kompleks.ru/catalog/vsya_produktsiya/biokokteyl-dlya-zamiokulkasa-komnatnyy-fenshuy-tm-happy/" TargetMode="External"/><Relationship Id="rId151" Type="http://schemas.openxmlformats.org/officeDocument/2006/relationships/hyperlink" Target="https://bio-kompleks.ru/catalog/vsya_produktsiya/biokokteyl_dlya_kapusty_tm_vitaminus/" TargetMode="External"/><Relationship Id="rId152" Type="http://schemas.openxmlformats.org/officeDocument/2006/relationships/hyperlink" Target="https://bio-kompleks.ru/catalog/vsya_produktsiya/biokokteyl_dlya_klematisov_tm_vitaminus/" TargetMode="External"/><Relationship Id="rId153" Type="http://schemas.openxmlformats.org/officeDocument/2006/relationships/hyperlink" Target="https://bio-kompleks.ru/catalog/vsya_produktsiya/biokokteyl_dlya_klubniki_i_maliny_tm_vitaminus/" TargetMode="External"/><Relationship Id="rId154" Type="http://schemas.openxmlformats.org/officeDocument/2006/relationships/hyperlink" Target="https://bio-kompleks.ru/catalog/vsya_produktsiya/biokokteyl-dlya-komnatnoy-zeleni-tm-vitaminus/" TargetMode="External"/><Relationship Id="rId155" Type="http://schemas.openxmlformats.org/officeDocument/2006/relationships/hyperlink" Target="https://bio-kompleks.ru/catalog/vsya_produktsiya/biokokteyl-dlya-komnatnoy-rozy-komnatnyy-fenshuy-tm-happy/" TargetMode="External"/><Relationship Id="rId156" Type="http://schemas.openxmlformats.org/officeDocument/2006/relationships/hyperlink" Target="https://bio-kompleks.ru/catalog/vsya_produktsiya/biokokteyl-dlya-komnatnykh-ogurchikov-tm-vitaminus/" TargetMode="External"/><Relationship Id="rId157" Type="http://schemas.openxmlformats.org/officeDocument/2006/relationships/hyperlink" Target="https://bio-kompleks.ru/catalog/vsya_produktsiya/biokokteyl-dlya-komnatnykh-pomidorchikov-i-perchikov-tm-vitaminus/" TargetMode="External"/><Relationship Id="rId158" Type="http://schemas.openxmlformats.org/officeDocument/2006/relationships/hyperlink" Target="https://bio-kompleks.ru/catalog/vsya_produktsiya/biokokteyl_dlya_lavandy_tm_vitaminus/" TargetMode="External"/><Relationship Id="rId159" Type="http://schemas.openxmlformats.org/officeDocument/2006/relationships/hyperlink" Target="https://bio-kompleks.ru/catalog/vsya_produktsiya/biokokteyl_dlya_ogurtsov_i_kabachkov_tm_vitaminus/" TargetMode="External"/><Relationship Id="rId160" Type="http://schemas.openxmlformats.org/officeDocument/2006/relationships/hyperlink" Target="https://bio-kompleks.ru/catalog/vsya_produktsiya/biokokteyl-dlya-orkhidei-komnatnyy-fenshuy-tm-happy/" TargetMode="External"/><Relationship Id="rId161" Type="http://schemas.openxmlformats.org/officeDocument/2006/relationships/hyperlink" Target="https://bio-kompleks.ru/catalog/vsya_produktsiya/biokokteyl-dlya-petuniy-tm-biosha/" TargetMode="External"/><Relationship Id="rId162" Type="http://schemas.openxmlformats.org/officeDocument/2006/relationships/hyperlink" Target="https://bio-kompleks.ru/catalog/vsya_produktsiya/biokokteyl_dlya_petuniy_tm_vitaminus/" TargetMode="External"/><Relationship Id="rId163" Type="http://schemas.openxmlformats.org/officeDocument/2006/relationships/hyperlink" Target="https://bio-kompleks.ru/catalog/vsya_produktsiya/biokokteyl-dlya-rassady-tm-vitaminus/" TargetMode="External"/><Relationship Id="rId164" Type="http://schemas.openxmlformats.org/officeDocument/2006/relationships/hyperlink" Target="https://bio-kompleks.ru/catalog/vsya_produktsiya/biokokteyl_dlya_sadovykh_roz_tm_vitaminus/" TargetMode="External"/><Relationship Id="rId165" Type="http://schemas.openxmlformats.org/officeDocument/2006/relationships/hyperlink" Target="https://bio-kompleks.ru/catalog/vsya_produktsiya/biokokteyl_dlya_smorodiny_kryzhovnika_i_zhimolosti_tm_vitaminus/" TargetMode="External"/><Relationship Id="rId166" Type="http://schemas.openxmlformats.org/officeDocument/2006/relationships/hyperlink" Target="https://bio-kompleks.ru/catalog/vsya_produktsiya/biokokteyl-dlya-spatifilluma-komnatnyy-fenshuy-tm-happy/" TargetMode="External"/><Relationship Id="rId167" Type="http://schemas.openxmlformats.org/officeDocument/2006/relationships/hyperlink" Target="https://bio-kompleks.ru/catalog/vsya_produktsiya/biokokteyl-dlya-tolstyanki-komnatnyy-fenshuy-tm-happy/" TargetMode="External"/><Relationship Id="rId168" Type="http://schemas.openxmlformats.org/officeDocument/2006/relationships/hyperlink" Target="https://bio-kompleks.ru/catalog/vsya_produktsiya/biokokteyl_dlya_tomatov_pertsev_baklazhanov_tm_vitaminus/" TargetMode="External"/><Relationship Id="rId169" Type="http://schemas.openxmlformats.org/officeDocument/2006/relationships/hyperlink" Target="https://bio-kompleks.ru/catalog/vsya_produktsiya/biokokteyl-dlya-fialki-komnatnyy-fenshuy-tm-happy/" TargetMode="External"/><Relationship Id="rId170" Type="http://schemas.openxmlformats.org/officeDocument/2006/relationships/hyperlink" Target="https://bio-kompleks.ru/catalog/vsya_produktsiya/biokokteyl-dlya-khvoynykh-tm-biosha/" TargetMode="External"/><Relationship Id="rId171" Type="http://schemas.openxmlformats.org/officeDocument/2006/relationships/hyperlink" Target="https://bio-kompleks.ru/catalog/vsya_produktsiya/biokokteyl-dlya-tsitrusovykh-komnatnyy-fenshuy-tm-happy/" TargetMode="External"/><Relationship Id="rId172" Type="http://schemas.openxmlformats.org/officeDocument/2006/relationships/hyperlink" Target="https://bio-kompleks.ru/catalog/vsya_produktsiya/biokokteyl_zdorovaya_listva_dlya_komnatnykh_rasteniy_tm_happy/" TargetMode="External"/><Relationship Id="rId173" Type="http://schemas.openxmlformats.org/officeDocument/2006/relationships/hyperlink" Target="https://bio-kompleks.ru/catalog/vsya_produktsiya/biokokteyl-zdorovaya-listva-dlya-komnatnykh-rasteniy-tm-biosha/" TargetMode="External"/><Relationship Id="rId174" Type="http://schemas.openxmlformats.org/officeDocument/2006/relationships/hyperlink" Target="https://bio-kompleks.ru/catalog/vsya_produktsiya/biokokteyl-osenniy/" TargetMode="External"/><Relationship Id="rId175" Type="http://schemas.openxmlformats.org/officeDocument/2006/relationships/hyperlink" Target="https://bio-kompleks.ru/catalog/vsya_produktsiya/biokokteyl_pyshnoe_tsvetenie_dlya_komnatnykh_rasteniy_tm_happy/" TargetMode="External"/><Relationship Id="rId176" Type="http://schemas.openxmlformats.org/officeDocument/2006/relationships/hyperlink" Target="https://bio-kompleks.ru/catalog/vsya_produktsiya/biokokteyl_universalnyy_tm_vitaminus/" TargetMode="External"/><Relationship Id="rId177" Type="http://schemas.openxmlformats.org/officeDocument/2006/relationships/hyperlink" Target="https://bio-kompleks.ru/catalog/vsya_produktsiya/biostim_rost_stimulyator_rosta_fl_10_ml/" TargetMode="External"/><Relationship Id="rId178" Type="http://schemas.openxmlformats.org/officeDocument/2006/relationships/hyperlink" Target="https://bio-kompleks.ru/catalog/vsya_produktsiya/biostim_start_stimulyator_dlya_semyan_i_rassady_fl_10_ml/" TargetMode="External"/><Relationship Id="rId179" Type="http://schemas.openxmlformats.org/officeDocument/2006/relationships/hyperlink" Target="https://bio-kompleks.ru/catalog/vsya_produktsiya/biostim_universal_stimulyator_ot_stressov_fl_25_ml/" TargetMode="External"/><Relationship Id="rId180" Type="http://schemas.openxmlformats.org/officeDocument/2006/relationships/hyperlink" Target="https://bio-kompleks.ru/catalog/vsya_produktsiya/brig_ks_ot_sornyakov_na_ovoshchnykh_kulturakh/" TargetMode="External"/><Relationship Id="rId181" Type="http://schemas.openxmlformats.org/officeDocument/2006/relationships/hyperlink" Target="https://bio-kompleks.ru/catalog/vsya_produktsiya/gibbera_vr_stimulyator_plodoobrazovaniya/" TargetMode="External"/><Relationship Id="rId182" Type="http://schemas.openxmlformats.org/officeDocument/2006/relationships/hyperlink" Target="https://bio-kompleks.ru/catalog/vsya_produktsiya/gumat_kaliya_sufler_udobrenie_dlya_ovoshchnykh_fl_500_ml/" TargetMode="External"/><Relationship Id="rId183" Type="http://schemas.openxmlformats.org/officeDocument/2006/relationships/hyperlink" Target="https://bio-kompleks.ru/catalog/vsya_produktsiya/gumat_kaliya_sufler_udobrenie_dlya_plodovo_yagodnykh_fl_500_ml/" TargetMode="External"/><Relationship Id="rId184" Type="http://schemas.openxmlformats.org/officeDocument/2006/relationships/hyperlink" Target="https://bio-kompleks.ru/catalog/vsya_produktsiya/gumat_kaliya_sufler_udobrenie_dlya_tsvetochno_dekor_fl_500_ml/" TargetMode="External"/><Relationship Id="rId185" Type="http://schemas.openxmlformats.org/officeDocument/2006/relationships/hyperlink" Target="https://bio-kompleks.ru/catalog/vsya_produktsiya/damba_vr_ot_sornyakov_na_gazone/" TargetMode="External"/><Relationship Id="rId186" Type="http://schemas.openxmlformats.org/officeDocument/2006/relationships/hyperlink" Target="https://bio-kompleks.ru/catalog/vsya_produktsiya/dachnyy_pomoshchnik_zelenoe_mylo_kalievoe_pulverizator/" TargetMode="External"/><Relationship Id="rId187" Type="http://schemas.openxmlformats.org/officeDocument/2006/relationships/hyperlink" Target="https://bio-kompleks.ru/catalog/vsya_produktsiya/dachnyy-pomoshchnik-sila-zheleza-zheleznyy-kuporos/" TargetMode="External"/><Relationship Id="rId188" Type="http://schemas.openxmlformats.org/officeDocument/2006/relationships/hyperlink" Target="https://bio-kompleks.ru/catalog/vsya_produktsiya/dachnyy-pomoshchnik-sila-medi-mednyy-kuporos-99-/" TargetMode="External"/><Relationship Id="rId189" Type="http://schemas.openxmlformats.org/officeDocument/2006/relationships/hyperlink" Target="https://bio-kompleks.ru/catalog/vsya_produktsiya/dachnyy_pomoshchnik_sredstvo_dlya_moyki_teplits_kontsentrat/" TargetMode="External"/><Relationship Id="rId190" Type="http://schemas.openxmlformats.org/officeDocument/2006/relationships/hyperlink" Target="https://bio-kompleks.ru/catalog/vsya_produktsiya/diflomayt_sk_ot_kleshchey_na_ovoshchnykh_i_plodovo_yagodnykh/" TargetMode="External"/><Relationship Id="rId191" Type="http://schemas.openxmlformats.org/officeDocument/2006/relationships/hyperlink" Target="https://bio-kompleks.ru/catalog/vsya_produktsiya/diflomayt_sk_ot_kleshchey_na_tsvetochno_dekorativnykh/" TargetMode="External"/><Relationship Id="rId192" Type="http://schemas.openxmlformats.org/officeDocument/2006/relationships/hyperlink" Target="https://bio-kompleks.ru/catalog/vsya_produktsiya/zalp_ke_ot_krovososushchikh_nasek_kleshchey_komarov_os_shershney/" TargetMode="External"/><Relationship Id="rId193" Type="http://schemas.openxmlformats.org/officeDocument/2006/relationships/hyperlink" Target="https://bio-kompleks.ru/catalog/vsya_produktsiya/zontran_kkr_ot_sornyakov_na_tomatakh_i_kartofele/" TargetMode="External"/><Relationship Id="rId194" Type="http://schemas.openxmlformats.org/officeDocument/2006/relationships/hyperlink" Target="https://bio-kompleks.ru/catalog/vsya_produktsiya/imidor_pro_ks_protravitel_kartofelya_pered_posadkoy/" TargetMode="External"/><Relationship Id="rId195" Type="http://schemas.openxmlformats.org/officeDocument/2006/relationships/hyperlink" Target="https://bio-kompleks.ru/catalog/vsya_produktsiya/imidor_vrk_ot_koloradskogo_zhuka_na_kartofele/" TargetMode="External"/><Relationship Id="rId196" Type="http://schemas.openxmlformats.org/officeDocument/2006/relationships/hyperlink" Target="https://bio-kompleks.ru/catalog/vsya_produktsiya/imidor_vrk_ot_tli_i_belokrylki_na_ogurtsakh_i_tomatakh/" TargetMode="External"/><Relationship Id="rId197" Type="http://schemas.openxmlformats.org/officeDocument/2006/relationships/hyperlink" Target="https://bio-kompleks.ru/catalog/vsya_produktsiya/imidor_vrk_ot_tli_i_belokrylki_na_tsvetochnykh_rasteniyakh/" TargetMode="External"/><Relationship Id="rId198" Type="http://schemas.openxmlformats.org/officeDocument/2006/relationships/hyperlink" Target="https://bio-kompleks.ru/catalog/vsya_produktsiya/indigo_ks_ot_bolezney_plodovykh_i_vinograda_profilakt/" TargetMode="External"/><Relationship Id="rId199" Type="http://schemas.openxmlformats.org/officeDocument/2006/relationships/hyperlink" Target="https://bio-kompleks.ru/catalog/vsya_produktsiya/korennik_sp_stimulyator_rosta_korney/" TargetMode="External"/><Relationship Id="rId200" Type="http://schemas.openxmlformats.org/officeDocument/2006/relationships/hyperlink" Target="https://bio-kompleks.ru/catalog/vsya_produktsiya/lornet_vr_ot_sornyakov_na_gazonakh_i_zemlyanike/" TargetMode="External"/><Relationship Id="rId201" Type="http://schemas.openxmlformats.org/officeDocument/2006/relationships/hyperlink" Target="https://bio-kompleks.ru/catalog/vsya_produktsiya/medeya_me_ot_bolezney_sadov_i_vinogradnikov/" TargetMode="External"/><Relationship Id="rId202" Type="http://schemas.openxmlformats.org/officeDocument/2006/relationships/hyperlink" Target="https://bio-kompleks.ru/catalog/vsya_produktsiya/mikorayz_biostimulyator_na_osnove_mikorizy_paket_5_tab/" TargetMode="External"/><Relationship Id="rId203" Type="http://schemas.openxmlformats.org/officeDocument/2006/relationships/hyperlink" Target="https://bio-kompleks.ru/catalog/vsya_produktsiya/muragon_ot_muravev_4g_/" TargetMode="External"/><Relationship Id="rId204" Type="http://schemas.openxmlformats.org/officeDocument/2006/relationships/hyperlink" Target="https://bio-kompleks.ru/catalog/vsya_produktsiya/muragon_ot_muravev_sadovykh_i_domashnikh_paket_4_g/" TargetMode="External"/><Relationship Id="rId205" Type="http://schemas.openxmlformats.org/officeDocument/2006/relationships/hyperlink" Target="https://bio-kompleks.ru/catalog/vsya_produktsiya/nutrivant-plyus-vinograd-npk-0-40-25-professionalnoe-kompleksnoe-udobrenie/" TargetMode="External"/><Relationship Id="rId206" Type="http://schemas.openxmlformats.org/officeDocument/2006/relationships/hyperlink" Target="https://bio-kompleks.ru/catalog/vsya_produktsiya/nutrivant-plyus-ovoshchnoy-npk-6-18-37-professionalnoe-kompleksnoe-udobrenie/" TargetMode="External"/><Relationship Id="rId207" Type="http://schemas.openxmlformats.org/officeDocument/2006/relationships/hyperlink" Target="https://bio-kompleks.ru/catalog/vsya_produktsiya/nutrivant-plyus-plody-tsvety-yunikrop-npk-0-36-24-professionalnoe-kompleksnoe-udobrenie/" TargetMode="External"/><Relationship Id="rId208" Type="http://schemas.openxmlformats.org/officeDocument/2006/relationships/hyperlink" Target="https://bio-kompleks.ru/catalog/vsya_produktsiya/nutrivant-plyus-tomat-npk-6-18-37-professionalnoe-kompleksnoe-udobrenie/" TargetMode="External"/><Relationship Id="rId209" Type="http://schemas.openxmlformats.org/officeDocument/2006/relationships/hyperlink" Target="https://bio-kompleks.ru/catalog/vsya_produktsiya/nutrivant-plyus-universalnyy-npk-19-19-19-professionalnoe-kompleksnoe-udobrenie/" TargetMode="External"/><Relationship Id="rId210" Type="http://schemas.openxmlformats.org/officeDocument/2006/relationships/hyperlink" Target="https://bio-kompleks.ru/catalog/vsya_produktsiya/nutrivant-plyus-khvoynye-vechnozelyenye-npk-0-36-24-professionalnoe-kompleksnoe-udobrenie/" TargetMode="External"/><Relationship Id="rId211" Type="http://schemas.openxmlformats.org/officeDocument/2006/relationships/hyperlink" Target="https://bio-kompleks.ru/catalog/vsya_produktsiya/nutrivant-plyus-tsvety-npk-19-19-19-professionalnoe-kompleksnoe-udobrenie/" TargetMode="External"/><Relationship Id="rId212" Type="http://schemas.openxmlformats.org/officeDocument/2006/relationships/hyperlink" Target="https://bio-kompleks.ru/catalog/vsya_produktsiya/nutrivant-plyus-yagodnyy-npk-12-5-27-professionalnoe-kompleksnoe-udobrenie/" TargetMode="External"/><Relationship Id="rId213" Type="http://schemas.openxmlformats.org/officeDocument/2006/relationships/hyperlink" Target="https://bio-kompleks.ru/catalog/vsya_produktsiya/osmokot-blum-2-3-mes/" TargetMode="External"/><Relationship Id="rId214" Type="http://schemas.openxmlformats.org/officeDocument/2006/relationships/hyperlink" Target="https://bio-kompleks.ru/catalog/vsya_produktsiya/osmokot-pro-3-4mes/" TargetMode="External"/><Relationship Id="rId215" Type="http://schemas.openxmlformats.org/officeDocument/2006/relationships/hyperlink" Target="https://bio-kompleks.ru/catalog/vsya_produktsiya/osmokot-pro-5-6mes/" TargetMode="External"/><Relationship Id="rId216" Type="http://schemas.openxmlformats.org/officeDocument/2006/relationships/hyperlink" Target="https://bio-kompleks.ru/catalog/vsya_produktsiya/osmokot-ekzakt-standart-3-4-mes/" TargetMode="External"/><Relationship Id="rId217" Type="http://schemas.openxmlformats.org/officeDocument/2006/relationships/hyperlink" Target="https://bio-kompleks.ru/catalog/vsya_produktsiya/osmokot-ekzakt-standart-5-6-mes/" TargetMode="External"/><Relationship Id="rId218" Type="http://schemas.openxmlformats.org/officeDocument/2006/relationships/hyperlink" Target="https://bio-kompleks.ru/catalog/vsya_produktsiya/osmokot-ekzakt-standart-khay-k-5-6-mes/" TargetMode="External"/><Relationship Id="rId219" Type="http://schemas.openxmlformats.org/officeDocument/2006/relationships/hyperlink" Target="https://bio-kompleks.ru/catalog/vsya_produktsiya/raketa-udobrenie-dlya-dekorativnykh-kultur-kolyshki/" TargetMode="External"/><Relationship Id="rId220" Type="http://schemas.openxmlformats.org/officeDocument/2006/relationships/hyperlink" Target="https://bio-kompleks.ru/catalog/vsya_produktsiya/raketa-udobrenie-dlya-plodovo-yagodnykh-kustarnikov-kolyshki/" TargetMode="External"/><Relationship Id="rId221" Type="http://schemas.openxmlformats.org/officeDocument/2006/relationships/hyperlink" Target="https://bio-kompleks.ru/catalog/vsya_produktsiya/raketa-udobrenie-dlya-plodovykh-derevev-kolyshki/" TargetMode="External"/><Relationship Id="rId222" Type="http://schemas.openxmlformats.org/officeDocument/2006/relationships/hyperlink" Target="https://bio-kompleks.ru/catalog/vsya_produktsiya/raketa-udobrenie-dlya-khvoynykh-kultur-kolyshki/" TargetMode="External"/><Relationship Id="rId223" Type="http://schemas.openxmlformats.org/officeDocument/2006/relationships/hyperlink" Target="https://bio-kompleks.ru/catalog/vsya_produktsiya/raketa-udobrenie-mineralnoe-dlya-gortenziy-kolyshki/" TargetMode="External"/><Relationship Id="rId224" Type="http://schemas.openxmlformats.org/officeDocument/2006/relationships/hyperlink" Target="https://bio-kompleks.ru/catalog/vsya_produktsiya/raketa-udobrenie-mineralnoe-osennee-dlya-plodovykh-kolyshki/" TargetMode="External"/><Relationship Id="rId225" Type="http://schemas.openxmlformats.org/officeDocument/2006/relationships/hyperlink" Target="https://bio-kompleks.ru/catalog/vsya_produktsiya/raketa_udobrenie_universalnoe_kolyshki_420g_18/" TargetMode="External"/><Relationship Id="rId226" Type="http://schemas.openxmlformats.org/officeDocument/2006/relationships/hyperlink" Target="https://bio-kompleks.ru/catalog/vsya_produktsiya/bio_kompleks_rostobion/" TargetMode="External"/><Relationship Id="rId227" Type="http://schemas.openxmlformats.org/officeDocument/2006/relationships/hyperlink" Target="https://bio-kompleks.ru/catalog/vsya_produktsiya/sera_400_ks_ot_bolezney_i_vredit_muchn_rosa_parsha_kleshch/" TargetMode="External"/><Relationship Id="rId228" Type="http://schemas.openxmlformats.org/officeDocument/2006/relationships/hyperlink" Target="https://bio-kompleks.ru/catalog/vsya_produktsiya/sprut_ekstra_vr_ot_vsekh_sornykh_rasteniy_borshchevik_kustarniki/" TargetMode="External"/><Relationship Id="rId229" Type="http://schemas.openxmlformats.org/officeDocument/2006/relationships/hyperlink" Target="https://bio-kompleks.ru/catalog/vsya_produktsiya/stopulit_g_ot_slizney_ulitok/" TargetMode="External"/><Relationship Id="rId230" Type="http://schemas.openxmlformats.org/officeDocument/2006/relationships/hyperlink" Target="https://bio-kompleks.ru/catalog/vsya_produktsiya/ultramag_kaltsiy_dlya_plodov_amp_10_ml/" TargetMode="External"/><Relationship Id="rId231" Type="http://schemas.openxmlformats.org/officeDocument/2006/relationships/hyperlink" Target="https://bio-kompleks.ru/catalog/vsya_produktsiya/ultramag_khelat_zheleza_ot_pozhelteniya_listev_paket_10_g/" TargetMode="External"/><Relationship Id="rId232" Type="http://schemas.openxmlformats.org/officeDocument/2006/relationships/hyperlink" Target="https://bio-kompleks.ru/catalog/vsya_produktsiya/ultramag_khelat_medi_ot_skruchivaniya_listev_paket_10_g/" TargetMode="External"/><Relationship Id="rId233" Type="http://schemas.openxmlformats.org/officeDocument/2006/relationships/hyperlink" Target="https://bio-kompleks.ru/catalog/vsya_produktsiya/ultramag_khelat_tsinka_ot_pyatnistosti_listev_paket_10_g/" TargetMode="External"/><Relationship Id="rId234" Type="http://schemas.openxmlformats.org/officeDocument/2006/relationships/hyperlink" Target="https://bio-kompleks.ru/catalog/vsya_produktsiya/forvard_mke_ot_sornyakov/" TargetMode="External"/><Relationship Id="rId235" Type="http://schemas.openxmlformats.org/officeDocument/2006/relationships/hyperlink" Target="https://bio-kompleks.ru/catalog/vsya_produktsiya/furshet_vs_zashchita_ot_ozhogov_listvennye_i_khvoynye_rast_/" TargetMode="External"/><Relationship Id="rId236" Type="http://schemas.openxmlformats.org/officeDocument/2006/relationships/hyperlink" Target="https://bio-kompleks.ru/catalog/vsya_produktsiya/khefk_vr_stimulyator_uskoreniya_sozrevaniya_tomatov_i_luka/" TargetMode="External"/><Relationship Id="rId237" Type="http://schemas.openxmlformats.org/officeDocument/2006/relationships/hyperlink" Target="https://bio-kompleks.ru/catalog/vsya_produktsiya/shirma_ks_ot_bolezney_kartofelya_yabloni_i_vinograda/" TargetMode="External"/><Relationship Id="rId238" Type="http://schemas.openxmlformats.org/officeDocument/2006/relationships/hyperlink" Target="https://bio-kompleks.ru/catalog/vsya_produktsiya/emistim_r_stimulyator_zavyazey_immuniteta/" TargetMode="External"/><Relationship Id="rId239" Type="http://schemas.openxmlformats.org/officeDocument/2006/relationships/hyperlink" Target="https://bio-kompleks.ru/catalog/vsya_produktsiya/espero_ks_ot_skrytozhivushchikh_vredit_khvoynykh_i_listvennykh_sistemno_kont/" TargetMode="External"/><Relationship Id="rId240" Type="http://schemas.openxmlformats.org/officeDocument/2006/relationships/hyperlink" Target="https://bio-kompleks.ru/catalog/vsya_produktsiya/yunona_me_ot_vrediteley_plodozhorka_listovertka/" TargetMode="External"/><Relationship Id="rId241" Type="http://schemas.openxmlformats.org/officeDocument/2006/relationships/hyperlink" Target="https://bio-kompleks.ru/catalog/vsya_produktsiya/dachnyy_pomoshchnik_dlya_ochistki_basseynov_kontsentrat/" TargetMode="External"/><Relationship Id="rId242" Type="http://schemas.openxmlformats.org/officeDocument/2006/relationships/hyperlink" Target="https://bio-kompleks.ru/catalog/vsya_produktsiya/dachnyy_pomoshchnik_dlya_septikov_i_vygrebnykh_yam_maksimum/" TargetMode="External"/><Relationship Id="rId243" Type="http://schemas.openxmlformats.org/officeDocument/2006/relationships/hyperlink" Target="https://bio-kompleks.ru/catalog/vsya_produktsiya/dachnyy_pomoshchnik_sredstvo_dlya_biotualetov_nizhniy_bak/" TargetMode="External"/><Relationship Id="rId244" Type="http://schemas.openxmlformats.org/officeDocument/2006/relationships/hyperlink" Target="https://bio-kompleks.ru/catalog/vsya_produktsiya/dachnyy_pomoshchnik_sredstvo_dlya_dachnykh_tualetov_i_vygrebnykh_yam/" TargetMode="External"/><Relationship Id="rId245" Type="http://schemas.openxmlformats.org/officeDocument/2006/relationships/hyperlink" Target="https://bio-kompleks.ru/catalog/vsya_produktsiya/dachnyy_pomoshchnik_sredstvo_dlya_septikov/" TargetMode="External"/><Relationship Id="rId246" Type="http://schemas.openxmlformats.org/officeDocument/2006/relationships/hyperlink" Target="https://bio-kompleks.ru/catalog/vsya_produktsiya/dachnyy-pomoshchnik-trubochist-dlya-chistki-dymokhodov-kaminov-pechey-rasshchepitel-sazhi/" TargetMode="External"/><Relationship Id="rId247" Type="http://schemas.openxmlformats.org/officeDocument/2006/relationships/hyperlink" Target="https://bio-kompleks.ru/catalog/vsya_produktsiya/dachnyy-pomoshchnik-trubochist-dlya-chistki-dymokhodov-kaminov-pechey-rasshchepitel-sazhi-maksimum/" TargetMode="External"/><Relationship Id="rId248" Type="http://schemas.openxmlformats.org/officeDocument/2006/relationships/hyperlink" Target="https://bio-kompleks.ru/catalog/vsya_produktsiya/dp_biozashchita_drevesiny_antiseptik/" TargetMode="External"/><Relationship Id="rId249" Type="http://schemas.openxmlformats.org/officeDocument/2006/relationships/hyperlink" Target="https://bio-kompleks.ru/catalog/vsya_produktsiya/nabor_udobreniy_dlya_gortenzii_na_ves_sezon_4/" TargetMode="External"/><Relationship Id="rId250" Type="http://schemas.openxmlformats.org/officeDocument/2006/relationships/hyperlink" Target="https://bio-kompleks.ru/catalog/vsya_produktsiya/nabor_udobreniy_dlya_rozy_na_ves_sezon_4/" TargetMode="External"/><Relationship Id="rId251" Type="http://schemas.openxmlformats.org/officeDocument/2006/relationships/hyperlink" Target="https://5-sezonov.ru/" TargetMode="External"/><Relationship Id="rId252" Type="http://schemas.openxmlformats.org/officeDocument/2006/relationships/hyperlink" Target="https://5-sezonov.ru/pictures/product/big/4548_big.png" TargetMode="External"/><Relationship Id="rId253" Type="http://schemas.openxmlformats.org/officeDocument/2006/relationships/hyperlink" Target="https://5-sezonov.ru/" TargetMode="External"/><Relationship Id="rId254" Type="http://schemas.openxmlformats.org/officeDocument/2006/relationships/hyperlink" Target="https://5-sezonov.ru/" TargetMode="External"/><Relationship Id="rId255" Type="http://schemas.openxmlformats.org/officeDocument/2006/relationships/hyperlink" Target="https://5-sezonov.ru/" TargetMode="External"/><Relationship Id="rId256" Type="http://schemas.openxmlformats.org/officeDocument/2006/relationships/hyperlink" Target="https://5-sezonov.ru/pictures/product/big/4612_big.jpg" TargetMode="External"/><Relationship Id="rId257" Type="http://schemas.openxmlformats.org/officeDocument/2006/relationships/hyperlink" Target="https://5-sezonov.ru/" TargetMode="External"/><Relationship Id="rId258" Type="http://schemas.openxmlformats.org/officeDocument/2006/relationships/hyperlink" Target="https://5-sezonov.ru/pictures/product/big/4559_big.png" TargetMode="External"/><Relationship Id="rId259" Type="http://schemas.openxmlformats.org/officeDocument/2006/relationships/hyperlink" Target="https://5-sezonov.ru/" TargetMode="External"/><Relationship Id="rId260" Type="http://schemas.openxmlformats.org/officeDocument/2006/relationships/hyperlink" Target="https://5-sezonov.ru/" TargetMode="External"/><Relationship Id="rId261" Type="http://schemas.openxmlformats.org/officeDocument/2006/relationships/hyperlink" Target="https://5-sezonov.ru/" TargetMode="External"/><Relationship Id="rId262" Type="http://schemas.openxmlformats.org/officeDocument/2006/relationships/hyperlink" Target="https://5-sezonov.ru/pictures/product/big/4538_big.png" TargetMode="External"/><Relationship Id="rId263" Type="http://schemas.openxmlformats.org/officeDocument/2006/relationships/hyperlink" Target="https://5-sezonov.ru/" TargetMode="External"/><Relationship Id="rId264" Type="http://schemas.openxmlformats.org/officeDocument/2006/relationships/hyperlink" Target="https://5-sezonov.ru/" TargetMode="External"/><Relationship Id="rId265" Type="http://schemas.openxmlformats.org/officeDocument/2006/relationships/hyperlink" Target="https://5-sezonov.ru/" TargetMode="External"/><Relationship Id="rId266" Type="http://schemas.openxmlformats.org/officeDocument/2006/relationships/hyperlink" Target="https://5-sezonov.ru/" TargetMode="External"/><Relationship Id="rId267" Type="http://schemas.openxmlformats.org/officeDocument/2006/relationships/hyperlink" Target="https://5-sezonov.ru/" TargetMode="External"/><Relationship Id="rId268" Type="http://schemas.openxmlformats.org/officeDocument/2006/relationships/hyperlink" Target="https://5-sezonov.ru/" TargetMode="External"/><Relationship Id="rId269" Type="http://schemas.openxmlformats.org/officeDocument/2006/relationships/hyperlink" Target="https://organic-mix.ru/catalog/mixcap-super-rost-stimulyator-rosta-v-kapsulakh-60-sht/" TargetMode="External"/><Relationship Id="rId270" Type="http://schemas.openxmlformats.org/officeDocument/2006/relationships/hyperlink" Target="https://organic-mix.ru/catalog/akvaseyf-1-1-kg/" TargetMode="External"/><Relationship Id="rId271" Type="http://schemas.openxmlformats.org/officeDocument/2006/relationships/hyperlink" Target="https://organic-mix.ru/catalog/aminorost-banochka-dlya-rassady-120-gr-organik-miks/" TargetMode="External"/><Relationship Id="rId272" Type="http://schemas.openxmlformats.org/officeDocument/2006/relationships/hyperlink" Target="https://organic-mix.ru/catalog/antivershinka/" TargetMode="External"/><Relationship Id="rId273" Type="http://schemas.openxmlformats.org/officeDocument/2006/relationships/hyperlink" Target="https://organic-mix.ru/catalog/antitripsin-ot-tripsa-100-ml/" TargetMode="External"/><Relationship Id="rId274" Type="http://schemas.openxmlformats.org/officeDocument/2006/relationships/hyperlink" Target="https://organic-mix.ru/catalog/antikhlorozin/" TargetMode="External"/><Relationship Id="rId275" Type="http://schemas.openxmlformats.org/officeDocument/2006/relationships/hyperlink" Target="https://organic-mix.ru/catalog/aromashchit-dlya-klubniki-240-ml/" TargetMode="External"/><Relationship Id="rId276" Type="http://schemas.openxmlformats.org/officeDocument/2006/relationships/hyperlink" Target="https://organic-mix.ru/catalog/aromashchit-dlya-komnatnykh-rasteniy-30ml/" TargetMode="External"/><Relationship Id="rId277" Type="http://schemas.openxmlformats.org/officeDocument/2006/relationships/hyperlink" Target="https://organic-mix.ru/catalog/aromashchit-dlya-ogurtsov-i-ovoshchnykh-kultur-240-ml/" TargetMode="External"/><Relationship Id="rId278" Type="http://schemas.openxmlformats.org/officeDocument/2006/relationships/hyperlink" Target="https://organic-mix.ru/catalog/aromashchit-dlya-plodovykh-derevev-240-ml/" TargetMode="External"/><Relationship Id="rId279" Type="http://schemas.openxmlformats.org/officeDocument/2006/relationships/hyperlink" Target="https://organic-mix.ru/catalog/aromashchit-dlya-rassady-30-ml/" TargetMode="External"/><Relationship Id="rId280" Type="http://schemas.openxmlformats.org/officeDocument/2006/relationships/hyperlink" Target="https://organic-mix.ru/catalog/aromashchit-dlya-roz-i-tsvetov-240-ml/" TargetMode="External"/><Relationship Id="rId281" Type="http://schemas.openxmlformats.org/officeDocument/2006/relationships/hyperlink" Target="https://organic-mix.ru/catalog/aromashchit-dlya-smorodiny-i-yagodnykh-kustarnikov-240-ml/" TargetMode="External"/><Relationship Id="rId282" Type="http://schemas.openxmlformats.org/officeDocument/2006/relationships/hyperlink" Target="https://organic-mix.ru/catalog/aromashchit-dlya-teplits-240-ml/" TargetMode="External"/><Relationship Id="rId283" Type="http://schemas.openxmlformats.org/officeDocument/2006/relationships/hyperlink" Target="https://organic-mix.ru/catalog/aromashchit-dlya-khvoynykh-240-ml/" TargetMode="External"/><Relationship Id="rId284" Type="http://schemas.openxmlformats.org/officeDocument/2006/relationships/hyperlink" Target="https://organic-mix.ru/catalog/aromashchit-universalnyy-240-ml/" TargetMode="External"/><Relationship Id="rId285" Type="http://schemas.openxmlformats.org/officeDocument/2006/relationships/hyperlink" Target="https://organic-mix.ru/catalog/bezpautin-ot-pautinnogo-kleshcha-100-ml/" TargetMode="External"/><Relationship Id="rId286" Type="http://schemas.openxmlformats.org/officeDocument/2006/relationships/hyperlink" Target="https://organic-mix.ru/catalog/bey-muravey-ot-organik-miks-60-gr-/" TargetMode="External"/><Relationship Id="rId287" Type="http://schemas.openxmlformats.org/officeDocument/2006/relationships/hyperlink" Target="https://organic-mix.ru/catalog/bio-blaster-dlya-komnatnykh-ot-nasekomykh-vrediteley-10-ml/" TargetMode="External"/><Relationship Id="rId288" Type="http://schemas.openxmlformats.org/officeDocument/2006/relationships/hyperlink" Target="https://organic-mix.ru/catalog/bioblaster-dlya-ovoshchey-ot-nasekomykh-vrediteley-100-ml/" TargetMode="External"/><Relationship Id="rId289" Type="http://schemas.openxmlformats.org/officeDocument/2006/relationships/hyperlink" Target="https://organic-mix.ru/catalog/bio-blaster-dlya-orkhidey-ot-nasekomykh-vrediteley-10-ml/" TargetMode="External"/><Relationship Id="rId290" Type="http://schemas.openxmlformats.org/officeDocument/2006/relationships/hyperlink" Target="https://organic-mix.ru/catalog/bio-blaster-dlya-rassady-ot-nasekomykh-vrediteley-10-ml/" TargetMode="External"/><Relationship Id="rId291" Type="http://schemas.openxmlformats.org/officeDocument/2006/relationships/hyperlink" Target="https://organic-mix.ru/catalog/bio-blaster-dlya-roz-ot-nasekomykh-vrediteley-10-ml/" TargetMode="External"/><Relationship Id="rId292" Type="http://schemas.openxmlformats.org/officeDocument/2006/relationships/hyperlink" Target="https://organic-mix.ru/catalog/bioblaster-dlya-teplits-ot-nasekomykh-vrediteley-100-ml-/" TargetMode="External"/><Relationship Id="rId293" Type="http://schemas.openxmlformats.org/officeDocument/2006/relationships/hyperlink" Target="https://organic-mix.ru/catalog/bioblaster-universalnyy-ot-nasekomykh-vrediteley-100-ml-/" TargetMode="External"/><Relationship Id="rId294" Type="http://schemas.openxmlformats.org/officeDocument/2006/relationships/hyperlink" Target="https://organic-mix.ru/catalog/bio-khanter-dlya-komnatnykh-rasteniy-sprey-ot-nasekomykh-vrediteley-500-ml-/" TargetMode="External"/><Relationship Id="rId295" Type="http://schemas.openxmlformats.org/officeDocument/2006/relationships/hyperlink" Target="https://organic-mix.ru/catalog/biokhanter-dlya-plodovykh-derevev-ot-nasekomykh-vrediteley-500-ml/" TargetMode="External"/><Relationship Id="rId296" Type="http://schemas.openxmlformats.org/officeDocument/2006/relationships/hyperlink" Target="https://organic-mix.ru/catalog/biokhanter-dlya-teplits-ot-nasekomykh-vrediteley-500-ml/" TargetMode="External"/><Relationship Id="rId297" Type="http://schemas.openxmlformats.org/officeDocument/2006/relationships/hyperlink" Target="https://organic-mix.ru/catalog/biokhanter-universalnyy-ot-nasekomykh-vrediteley-500-ml/" TargetMode="External"/><Relationship Id="rId298" Type="http://schemas.openxmlformats.org/officeDocument/2006/relationships/hyperlink" Target="https://organic-mix.ru/catalog/bio-khanter-universalnyy-sprey-ot-nasekomykh-vrediteley-500-ml-/" TargetMode="External"/><Relationship Id="rId299" Type="http://schemas.openxmlformats.org/officeDocument/2006/relationships/hyperlink" Target="https://organic-mix.ru/catalog/biogumus-dlya-domashnikh-rasteniy/" TargetMode="External"/><Relationship Id="rId300" Type="http://schemas.openxmlformats.org/officeDocument/2006/relationships/hyperlink" Target="https://organic-mix.ru/catalog/biozashchitin-v-ampule-organicheskoe-sredstvo-zashchity-rasteniy-3-v-1-5-ml/" TargetMode="External"/><Relationship Id="rId301" Type="http://schemas.openxmlformats.org/officeDocument/2006/relationships/hyperlink" Target="https://organic-mix.ru/catalog/biokolorad-ot-koloradskogo-zhuka-150-ml/" TargetMode="External"/><Relationship Id="rId302" Type="http://schemas.openxmlformats.org/officeDocument/2006/relationships/hyperlink" Target="https://organic-mix.ru/catalog/bioruzhe-dlya-klubniki-v-apmule-2-ml/" TargetMode="External"/><Relationship Id="rId303" Type="http://schemas.openxmlformats.org/officeDocument/2006/relationships/hyperlink" Target="https://organic-mix.ru/catalog/bioruzhe-dlya-komnatnykh-rasteniy-v-apmule-2-ml/" TargetMode="External"/><Relationship Id="rId304" Type="http://schemas.openxmlformats.org/officeDocument/2006/relationships/hyperlink" Target="https://organic-mix.ru/catalog/bioruzhe-dlya-ogurtsov-i-ovoshchnykh-kultur-v-apmule-2-ml/" TargetMode="External"/><Relationship Id="rId305" Type="http://schemas.openxmlformats.org/officeDocument/2006/relationships/hyperlink" Target="https://organic-mix.ru/catalog/bioruzhe-dlya-roz-i-tsvetov-v-apmule-2-ml/" TargetMode="External"/><Relationship Id="rId306" Type="http://schemas.openxmlformats.org/officeDocument/2006/relationships/hyperlink" Target="https://organic-mix.ru/catalog/bioruzhe-dlya-smorodiny-i-yagodnykh-kustarnikov-v-apmule-2-ml/" TargetMode="External"/><Relationship Id="rId307" Type="http://schemas.openxmlformats.org/officeDocument/2006/relationships/hyperlink" Target="https://organic-mix.ru/catalog/bioruzhe-universalnoe-v-ampule-2-ml/" TargetMode="External"/><Relationship Id="rId308" Type="http://schemas.openxmlformats.org/officeDocument/2006/relationships/hyperlink" Target="https://organic-mix.ru/catalog/biosanitarin-dlya-sadovogo-instrumenta-100-ml/" TargetMode="External"/><Relationship Id="rId309" Type="http://schemas.openxmlformats.org/officeDocument/2006/relationships/hyperlink" Target="https://organic-mix.ru/catalog/biosanitarin-dlya-teplits-i-inventarya-500-ml/" TargetMode="External"/><Relationship Id="rId310" Type="http://schemas.openxmlformats.org/officeDocument/2006/relationships/hyperlink" Target="https://organic-mix.ru/catalog/grunt-dlya-domashnego-ogoroda-40-l-organik-miks/" TargetMode="External"/><Relationship Id="rId311" Type="http://schemas.openxmlformats.org/officeDocument/2006/relationships/hyperlink" Target="https://organic-mix.ru/catalog/grunt-dlya-rassady-40-l-organik-miks/" TargetMode="External"/><Relationship Id="rId312" Type="http://schemas.openxmlformats.org/officeDocument/2006/relationships/hyperlink" Target="https://organic-mix.ru/catalog/grunt-dlya-semyan-i-cherenkov-4l/" TargetMode="External"/><Relationship Id="rId313" Type="http://schemas.openxmlformats.org/officeDocument/2006/relationships/hyperlink" Target="https://organic-mix.ru/catalog/gusenitsam-net-ot-gusenits-180-gr/" TargetMode="External"/><Relationship Id="rId314" Type="http://schemas.openxmlformats.org/officeDocument/2006/relationships/hyperlink" Target="https://organic-mix.ru/catalog/antizima-60-gr-organik-miks/" TargetMode="External"/><Relationship Id="rId315" Type="http://schemas.openxmlformats.org/officeDocument/2006/relationships/hyperlink" Target="https://organic-mix.ru/catalog/kaltsegarden-organik-miks-9-kg-vedro/" TargetMode="External"/><Relationship Id="rId316" Type="http://schemas.openxmlformats.org/officeDocument/2006/relationships/hyperlink" Target="https://organic-mix.ru/catalog/kislon-dlya-kislolyubivykh-rasteniy/" TargetMode="External"/><Relationship Id="rId317" Type="http://schemas.openxmlformats.org/officeDocument/2006/relationships/hyperlink" Target="https://organic-mix.ru/catalog/kostnaya-muka-organik-miks-2-8-kg/" TargetMode="External"/><Relationship Id="rId318" Type="http://schemas.openxmlformats.org/officeDocument/2006/relationships/hyperlink" Target="https://organic-mix.ru/catalog/krovyanaya-muka/" TargetMode="External"/><Relationship Id="rId319" Type="http://schemas.openxmlformats.org/officeDocument/2006/relationships/hyperlink" Target="https://organic-mix.ru/catalog/lenivyy-azot-750-gr-organik-miks/" TargetMode="External"/><Relationship Id="rId320" Type="http://schemas.openxmlformats.org/officeDocument/2006/relationships/hyperlink" Target="https://organic-mix.ru/catalog/listochist-sprey-organicheskoe-sredstvo-zashchity-rasteniy-3-v-1-1-l/" TargetMode="External"/><Relationship Id="rId321" Type="http://schemas.openxmlformats.org/officeDocument/2006/relationships/hyperlink" Target="https://organic-mix.ru/catalog/magniy-organicheskiy-350-gr-organiks-miks/" TargetMode="External"/><Relationship Id="rId322" Type="http://schemas.openxmlformats.org/officeDocument/2006/relationships/hyperlink" Target="https://organic-mix.ru/catalog/morskoy-kokteyl-vodorastvorimyy-dlya-gortenziy-150-g-organik-miks/" TargetMode="External"/><Relationship Id="rId323" Type="http://schemas.openxmlformats.org/officeDocument/2006/relationships/hyperlink" Target="https://organic-mix.ru/catalog/morskoy-kokteyl-vodorastvorimyy-dlya-klubniki-600-gr-/" TargetMode="External"/><Relationship Id="rId324" Type="http://schemas.openxmlformats.org/officeDocument/2006/relationships/hyperlink" Target="https://organic-mix.ru/catalog/morskoy-kokteyl-vodorastvorimyy-dlya-komnatnykh-rasteniy-150-g-organik-miks/" TargetMode="External"/><Relationship Id="rId325" Type="http://schemas.openxmlformats.org/officeDocument/2006/relationships/hyperlink" Target="https://organic-mix.ru/catalog/morskoy-kokteyl-vodorastvorimyy-dlya-ogurtsov-600-g-organik-miks/" TargetMode="External"/><Relationship Id="rId326" Type="http://schemas.openxmlformats.org/officeDocument/2006/relationships/hyperlink" Target="https://organic-mix.ru/catalog/morskoy-kokteyl-vodorastvorimyy-dlya-rassady-150-gr-organik-miks/" TargetMode="External"/><Relationship Id="rId327" Type="http://schemas.openxmlformats.org/officeDocument/2006/relationships/hyperlink" Target="https://organic-mix.ru/catalog/morskoy-kokteyl-vodorastvorimyy-dlya-roz-150-g-organik-miks/" TargetMode="External"/><Relationship Id="rId328" Type="http://schemas.openxmlformats.org/officeDocument/2006/relationships/hyperlink" Target="https://organic-mix.ru/catalog/morskoy-kokteyl-vodorastvorimyy-dlya-tomatov-600-g-organik-miks/" TargetMode="External"/><Relationship Id="rId329" Type="http://schemas.openxmlformats.org/officeDocument/2006/relationships/hyperlink" Target="https://organic-mix.ru/catalog/morskoy-kokteyl-vodorastvorimyy-dlya-tuy-150-g-organik-miks/" TargetMode="External"/><Relationship Id="rId330" Type="http://schemas.openxmlformats.org/officeDocument/2006/relationships/hyperlink" Target="https://organic-mix.ru/catalog/morskoy-kokteyl-vodorastvorimyy-dlya-fikusov-i-palm-150-g-organik-miks/" TargetMode="External"/><Relationship Id="rId331" Type="http://schemas.openxmlformats.org/officeDocument/2006/relationships/hyperlink" Target="https://organic-mix.ru/catalog/morskoy-kokteyl-vodorastvorimyy-dlya-tsvetov-600-g-organik-miks/" TargetMode="External"/><Relationship Id="rId332" Type="http://schemas.openxmlformats.org/officeDocument/2006/relationships/hyperlink" Target="https://organic-mix.ru/catalog/morskoy-kokteyl-vodorastvorimyy-osenniy-600-gr-organik-miks/" TargetMode="External"/><Relationship Id="rId333" Type="http://schemas.openxmlformats.org/officeDocument/2006/relationships/hyperlink" Target="https://organic-mix.ru/catalog/morskoy-kokteyl-vodorastvorimyy-universalnyy-600-gr-organik-miks-/" TargetMode="External"/><Relationship Id="rId334" Type="http://schemas.openxmlformats.org/officeDocument/2006/relationships/hyperlink" Target="https://organic-mix.ru/catalog/morskoy-kokteyl-vodorastvorimyy-uskoritel-sozrevaniya-600-g-organik-miks/" TargetMode="External"/><Relationship Id="rId335" Type="http://schemas.openxmlformats.org/officeDocument/2006/relationships/hyperlink" Target="https://organic-mix.ru/catalog/morskoy-kokteyl-5-litrov/" TargetMode="External"/><Relationship Id="rId336" Type="http://schemas.openxmlformats.org/officeDocument/2006/relationships/hyperlink" Target="https://organic-mix.ru/catalog/morskoy-kokteyl-zhidkiy-dlya-gortenziy-450-ml/" TargetMode="External"/><Relationship Id="rId337" Type="http://schemas.openxmlformats.org/officeDocument/2006/relationships/hyperlink" Target="https://organic-mix.ru/catalog/morskoy-kokteyl-zhidkiy-dlya-klubniki-450-ml/" TargetMode="External"/><Relationship Id="rId338" Type="http://schemas.openxmlformats.org/officeDocument/2006/relationships/hyperlink" Target="https://organic-mix.ru/catalog/morskoy-kokteyl-zhidkiy-dlya-rassady-900-ml-sfr/" TargetMode="External"/><Relationship Id="rId339" Type="http://schemas.openxmlformats.org/officeDocument/2006/relationships/hyperlink" Target="https://organic-mix.ru/catalog/morskoy-kokteyl-zhidkiy-dlya-rassady-250-ml-s-priyatnym-zapakhom/" TargetMode="External"/><Relationship Id="rId340" Type="http://schemas.openxmlformats.org/officeDocument/2006/relationships/hyperlink" Target="https://organic-mix.ru/catalog/morskoy-kokteyl-zhidkiy-dlya-roz-450-ml/" TargetMode="External"/><Relationship Id="rId341" Type="http://schemas.openxmlformats.org/officeDocument/2006/relationships/hyperlink" Target="https://organic-mix.ru/catalog/morskoy-kokteyl-zhidkiy-dlya-tomatov-5-l/" TargetMode="External"/><Relationship Id="rId342" Type="http://schemas.openxmlformats.org/officeDocument/2006/relationships/hyperlink" Target="https://organic-mix.ru/catalog/morskoy-kokteyl-zhidkiy-dlya-tuy-450-ml/" TargetMode="External"/><Relationship Id="rId343" Type="http://schemas.openxmlformats.org/officeDocument/2006/relationships/hyperlink" Target="https://organic-mix.ru/catalog/morskoy-kokteyl-zhidkiy-dlya-khvoynykh-450-ml/" TargetMode="External"/><Relationship Id="rId344" Type="http://schemas.openxmlformats.org/officeDocument/2006/relationships/hyperlink" Target="https://organic-mix.ru/catalog/morskoy-kokteyl-zhidkiy-dlya-tsvetov-450-ml/" TargetMode="External"/><Relationship Id="rId345" Type="http://schemas.openxmlformats.org/officeDocument/2006/relationships/hyperlink" Target="https://organic-mix.ru/catalog/morskoy-kokteyl-gel-dlya-komnatnykh-rasteniy-250-ml/" TargetMode="External"/><Relationship Id="rId346" Type="http://schemas.openxmlformats.org/officeDocument/2006/relationships/hyperlink" Target="https://organic-mix.ru/catalog/morskoy-kokteyl-gel-dlya-rassady-450-ml/" TargetMode="External"/><Relationship Id="rId347" Type="http://schemas.openxmlformats.org/officeDocument/2006/relationships/hyperlink" Target="https://organic-mix.ru/catalog/morskoy-kokteyl-sukhoy-7-kg-vedro-organik-miks/" TargetMode="External"/><Relationship Id="rId348" Type="http://schemas.openxmlformats.org/officeDocument/2006/relationships/hyperlink" Target="https://organic-mix.ru/catalog/morskoy-kokteyl-tonik-dlya-komnatnykh-rasteniy-sprey-450-ml-/" TargetMode="External"/><Relationship Id="rId349" Type="http://schemas.openxmlformats.org/officeDocument/2006/relationships/hyperlink" Target="https://organic-mix.ru/catalog/morskoy-kokteyl-tonik-dlya-rassady-sprey-450-ml/" TargetMode="External"/><Relationship Id="rId350" Type="http://schemas.openxmlformats.org/officeDocument/2006/relationships/hyperlink" Target="https://organic-mix.ru/catalog/moshkagon-ot-gribnykh-komarikov-100-ml/" TargetMode="External"/><Relationship Id="rId351" Type="http://schemas.openxmlformats.org/officeDocument/2006/relationships/hyperlink" Target="https://organic-mix.ru/catalog/muka-iz-vodorosley-organik-miks-850-gr/" TargetMode="External"/><Relationship Id="rId352" Type="http://schemas.openxmlformats.org/officeDocument/2006/relationships/hyperlink" Target="https://organic-mix.ru/catalog/muchnistop-sprey-ot-muchnistoy-rosy-1-l-organik-miks/" TargetMode="External"/><Relationship Id="rId353" Type="http://schemas.openxmlformats.org/officeDocument/2006/relationships/hyperlink" Target="https://organic-mix.ru/catalog/detokser-240-gr-organik-miks/" TargetMode="External"/><Relationship Id="rId354" Type="http://schemas.openxmlformats.org/officeDocument/2006/relationships/hyperlink" Target="https://organic-mix.ru/catalog/biotonus-banochka-50-gr-organik-miks/" TargetMode="External"/><Relationship Id="rId355" Type="http://schemas.openxmlformats.org/officeDocument/2006/relationships/hyperlink" Target="https://organic-mix.ru/catalog/aminorost-banochka-30-gr-organik-miks/" TargetMode="External"/><Relationship Id="rId356" Type="http://schemas.openxmlformats.org/officeDocument/2006/relationships/hyperlink" Target="https://organic-mix.ru/catalog/biokoren-banochka-50-gr-organik-miks/" TargetMode="External"/><Relationship Id="rId357" Type="http://schemas.openxmlformats.org/officeDocument/2006/relationships/hyperlink" Target="https://organic-mix.ru/catalog/pochvochist-850-g/" TargetMode="External"/><Relationship Id="rId358" Type="http://schemas.openxmlformats.org/officeDocument/2006/relationships/hyperlink" Target="https://organic-mix.ru/catalog/pochvochist-dlya-komnatnykh-rasteniy-10-ml/" TargetMode="External"/><Relationship Id="rId359" Type="http://schemas.openxmlformats.org/officeDocument/2006/relationships/hyperlink" Target="https://organic-mix.ru/catalog/pochvochist-dlya-rassady-10-ml/" TargetMode="External"/><Relationship Id="rId360" Type="http://schemas.openxmlformats.org/officeDocument/2006/relationships/hyperlink" Target="https://organic-mix.ru/catalog/pochvochist-dlya-teplits-dlya-poliva-150-ml/" TargetMode="External"/><Relationship Id="rId361" Type="http://schemas.openxmlformats.org/officeDocument/2006/relationships/hyperlink" Target="https://organic-mix.ru/catalog/pochvochist-palochki-dlya-komnatnykh-rasteniy-150-gr-organik-miks/" TargetMode="External"/><Relationship Id="rId362" Type="http://schemas.openxmlformats.org/officeDocument/2006/relationships/hyperlink" Target="https://organic-mix.ru/catalog/pochvochist-palochki-dlya-rassady-150-gr-organik-miks/" TargetMode="External"/><Relationship Id="rId363" Type="http://schemas.openxmlformats.org/officeDocument/2006/relationships/hyperlink" Target="https://organic-mix.ru/catalog/pochvochist-universalnyy-30-ml/" TargetMode="External"/><Relationship Id="rId364" Type="http://schemas.openxmlformats.org/officeDocument/2006/relationships/hyperlink" Target="https://organic-mix.ru/catalog/prilipayka-organicheskiy-prilipatel-100-ml/" TargetMode="External"/><Relationship Id="rId365" Type="http://schemas.openxmlformats.org/officeDocument/2006/relationships/hyperlink" Target="https://organic-mix.ru/catalog/prilipayka-v-ampule-organicheskiy-bioprilipatel-rastekatel-1-ml/" TargetMode="External"/><Relationship Id="rId366" Type="http://schemas.openxmlformats.org/officeDocument/2006/relationships/hyperlink" Target="https://organic-mix.ru/catalog/razrykhlin-10-l-organik-miks-vedro-/" TargetMode="External"/><Relationship Id="rId367" Type="http://schemas.openxmlformats.org/officeDocument/2006/relationships/hyperlink" Target="https://organic-mix.ru/catalog/repellent-otpugivatel-ot-medvedki-450-gr-organik-miks-/" TargetMode="External"/><Relationship Id="rId368" Type="http://schemas.openxmlformats.org/officeDocument/2006/relationships/hyperlink" Target="https://organic-mix.ru/catalog/rogokopytnyy-shrot/" TargetMode="External"/><Relationship Id="rId369" Type="http://schemas.openxmlformats.org/officeDocument/2006/relationships/hyperlink" Target="https://organic-mix.ru/catalog/rybnaya-muka/" TargetMode="External"/><Relationship Id="rId370" Type="http://schemas.openxmlformats.org/officeDocument/2006/relationships/hyperlink" Target="https://organic-mix.ru/catalog/stopsliznyak-ot-slizney-650-gr/" TargetMode="External"/><Relationship Id="rId371" Type="http://schemas.openxmlformats.org/officeDocument/2006/relationships/hyperlink" Target="https://organic-mix.ru/catalog/stoptlin-sprey-ot-tli-1-l-/" TargetMode="External"/><Relationship Id="rId372" Type="http://schemas.openxmlformats.org/officeDocument/2006/relationships/hyperlink" Target="https://organic-mix.ru/catalog/tlinin-ot-tli-100-ml/" TargetMode="External"/><Relationship Id="rId373" Type="http://schemas.openxmlformats.org/officeDocument/2006/relationships/hyperlink" Target="https://organic-mix.ru/catalog/udobrenie-vesenee-organik-miks-850-gr/" TargetMode="External"/><Relationship Id="rId374" Type="http://schemas.openxmlformats.org/officeDocument/2006/relationships/hyperlink" Target="https://organic-mix.ru/catalog/udobrenie-dlya-vinograda-organik-miks-7-kg-vedro/" TargetMode="External"/><Relationship Id="rId375" Type="http://schemas.openxmlformats.org/officeDocument/2006/relationships/hyperlink" Target="https://organic-mix.ru/catalog/udobrenie-dlya-gazona-belgiyskaya-seriya-750-gr/" TargetMode="External"/><Relationship Id="rId376" Type="http://schemas.openxmlformats.org/officeDocument/2006/relationships/hyperlink" Target="https://organic-mix.ru/catalog/udobrenie-dlya-gazona-antimokh-belgiyskaya-seriya-750-gr/" TargetMode="External"/><Relationship Id="rId377" Type="http://schemas.openxmlformats.org/officeDocument/2006/relationships/hyperlink" Target="https://organic-mix.ru/catalog/udobrenie-dlya-gazona-organik-miks-25-kg/" TargetMode="External"/><Relationship Id="rId378" Type="http://schemas.openxmlformats.org/officeDocument/2006/relationships/hyperlink" Target="https://organic-mix.ru/catalog/udobrenie-dlya-gazona-osen-organik-miks-7-kg-vedro/" TargetMode="External"/><Relationship Id="rId379" Type="http://schemas.openxmlformats.org/officeDocument/2006/relationships/hyperlink" Target="https://organic-mix.ru/catalog/udobrenie-dlya-gigantskoy-tykvy-ryzhiy-slon-organik-miks-7-kg-vedro/" TargetMode="External"/><Relationship Id="rId380" Type="http://schemas.openxmlformats.org/officeDocument/2006/relationships/hyperlink" Target="https://organic-mix.ru/catalog/udobrenie-dlya-golubiki/" TargetMode="External"/><Relationship Id="rId381" Type="http://schemas.openxmlformats.org/officeDocument/2006/relationships/hyperlink" Target="https://organic-mix.ru/catalog/udobrenie-dlya-gortenziy-organik-miks-800-gr/" TargetMode="External"/><Relationship Id="rId382" Type="http://schemas.openxmlformats.org/officeDocument/2006/relationships/hyperlink" Target="https://organic-mix.ru/catalog/udobrenie-dlya-kapusty-850-gr/" TargetMode="External"/><Relationship Id="rId383" Type="http://schemas.openxmlformats.org/officeDocument/2006/relationships/hyperlink" Target="https://organic-mix.ru/catalog/udobrenie-dlya-kartofelya-organik-miks-7-kg-vedro/" TargetMode="External"/><Relationship Id="rId384" Type="http://schemas.openxmlformats.org/officeDocument/2006/relationships/hyperlink" Target="https://organic-mix.ru/catalog/udobreniya-dlya-kislykh-pochv-organiks-miks-850-gr/" TargetMode="External"/><Relationship Id="rId385" Type="http://schemas.openxmlformats.org/officeDocument/2006/relationships/hyperlink" Target="https://organic-mix.ru/catalog/udobrenie-dlya-klubniki-i-yagodnykh-organik-miks-800-gr/" TargetMode="External"/><Relationship Id="rId386" Type="http://schemas.openxmlformats.org/officeDocument/2006/relationships/hyperlink" Target="https://organic-mix.ru/catalog/udobrenie-dlya-korneplodov-organik-miks-850-gr/" TargetMode="External"/><Relationship Id="rId387" Type="http://schemas.openxmlformats.org/officeDocument/2006/relationships/hyperlink" Target="https://organic-mix.ru/catalog/udobrenie-dlya-kostochkovykh-cherrigarden-organik-miks-7-kg/" TargetMode="External"/><Relationship Id="rId388" Type="http://schemas.openxmlformats.org/officeDocument/2006/relationships/hyperlink" Target="https://organic-mix.ru/catalog/udobrenie-dlya-lukovichnykh-organik-miks-7-kg-vedro/" TargetMode="External"/><Relationship Id="rId389" Type="http://schemas.openxmlformats.org/officeDocument/2006/relationships/hyperlink" Target="https://organic-mix.ru/catalog/udobrenie-dlya-ovoshchey-belgiyskaya-seriya/" TargetMode="External"/><Relationship Id="rId390" Type="http://schemas.openxmlformats.org/officeDocument/2006/relationships/hyperlink" Target="https://organic-mix.ru/catalog/udobrenie-dlya-ogurtsov-organik-miks-850-gr/" TargetMode="External"/><Relationship Id="rId391" Type="http://schemas.openxmlformats.org/officeDocument/2006/relationships/hyperlink" Target="https://organic-mix.ru/catalog/udobrenie-dlya-peresadki-i-rassady-organik-miks-850-gr/" TargetMode="External"/><Relationship Id="rId392" Type="http://schemas.openxmlformats.org/officeDocument/2006/relationships/hyperlink" Target="https://organic-mix.ru/catalog/udobrenie-dlya-posadki-sazhentsev-organik-miks-850-gr/" TargetMode="External"/><Relationship Id="rId393" Type="http://schemas.openxmlformats.org/officeDocument/2006/relationships/hyperlink" Target="https://organic-mix.ru/catalog/udobrenie-dlya-roz-i-tsvetov-organik-miks-7-kg-vedro/" TargetMode="External"/><Relationship Id="rId394" Type="http://schemas.openxmlformats.org/officeDocument/2006/relationships/hyperlink" Target="https://organic-mix.ru/catalog/udobrenie-dlya-semechkovykh-eplgarden-organik-miks-25-kg/" TargetMode="External"/><Relationship Id="rId395" Type="http://schemas.openxmlformats.org/officeDocument/2006/relationships/hyperlink" Target="https://organic-mix.ru/catalog/udobrenie-dlya-tomatov/" TargetMode="External"/><Relationship Id="rId396" Type="http://schemas.openxmlformats.org/officeDocument/2006/relationships/hyperlink" Target="https://organic-mix.ru/catalog/udobrenie-dlya-tuy-zelenaya-strela-organik-miks-7-kg-vedro/" TargetMode="External"/><Relationship Id="rId397" Type="http://schemas.openxmlformats.org/officeDocument/2006/relationships/hyperlink" Target="https://organic-mix.ru/catalog/udobrenie-dlya-khvoynykh-organik-miks-850-gr/" TargetMode="External"/><Relationship Id="rId398" Type="http://schemas.openxmlformats.org/officeDocument/2006/relationships/hyperlink" Target="https://organic-mix.ru/catalog/udobrenie-osennee-organik-miks-850-gr/" TargetMode="External"/><Relationship Id="rId399" Type="http://schemas.openxmlformats.org/officeDocument/2006/relationships/hyperlink" Target="https://organic-mix.ru/catalog/udobrenie-universalnoe-organik-miks-850-gr/" TargetMode="External"/><Relationship Id="rId400" Type="http://schemas.openxmlformats.org/officeDocument/2006/relationships/hyperlink" Target="https://organic-mix.ru/catalog/uskoritel-kompostirovaniya-4l-organiks-miks/" TargetMode="External"/><Relationship Id="rId401" Type="http://schemas.openxmlformats.org/officeDocument/2006/relationships/hyperlink" Target="https://organic-mix.ru/catalog/fitokill-dlya-vesenney-obrabotki-sada-240-ml/" TargetMode="External"/><Relationship Id="rId402" Type="http://schemas.openxmlformats.org/officeDocument/2006/relationships/hyperlink" Target="https://organic-mix.ru/catalog/fitostart-0-6-gr-organik-miks/" TargetMode="External"/><Relationship Id="rId403" Type="http://schemas.openxmlformats.org/officeDocument/2006/relationships/hyperlink" Target="https://organic-mix.ru/catalog/shef-kompost-850-gr-organik-miks/" TargetMode="External"/><Relationship Id="rId404" Type="http://schemas.openxmlformats.org/officeDocument/2006/relationships/hyperlink" Target="https://organic-mix.ru/catalog/eliksir-1-vesenniy-900-ml-organik-miks-new/" TargetMode="External"/><Relationship Id="rId405" Type="http://schemas.openxmlformats.org/officeDocument/2006/relationships/hyperlink" Target="https://organic-mix.ru/catalog/eliksir-1-dlya-vinograda-900-ml-organik-miks-new/" TargetMode="External"/><Relationship Id="rId406" Type="http://schemas.openxmlformats.org/officeDocument/2006/relationships/hyperlink" Target="https://organic-mix.ru/catalog/eliksir-1-dlya-golubiki-5-l-organik-miks-new/" TargetMode="External"/><Relationship Id="rId407" Type="http://schemas.openxmlformats.org/officeDocument/2006/relationships/hyperlink" Target="https://organic-mix.ru/catalog/eliksir-1-dlya-gortenziy-900-ml-new/" TargetMode="External"/><Relationship Id="rId408" Type="http://schemas.openxmlformats.org/officeDocument/2006/relationships/hyperlink" Target="https://organic-mix.ru/catalog/eliksir-1-dlya-klematisov-900-ml-organik-miks-new/" TargetMode="External"/><Relationship Id="rId409" Type="http://schemas.openxmlformats.org/officeDocument/2006/relationships/hyperlink" Target="https://organic-mix.ru/catalog/eliksir-1-dlya-klubniki-900-ml-organik-miks-new/" TargetMode="External"/><Relationship Id="rId410" Type="http://schemas.openxmlformats.org/officeDocument/2006/relationships/hyperlink" Target="https://organic-mix.ru/catalog/eliksir-1-dlya-komnatnykh-rasteniy-900-ml-new/" TargetMode="External"/><Relationship Id="rId411" Type="http://schemas.openxmlformats.org/officeDocument/2006/relationships/hyperlink" Target="https://organic-mix.ru/catalog/eliksir-1-dlya-lavandy-900-ml-organik-miks-new/" TargetMode="External"/><Relationship Id="rId412" Type="http://schemas.openxmlformats.org/officeDocument/2006/relationships/hyperlink" Target="https://organic-mix.ru/catalog/eliksir-1-dlya-morkovi-i-korneplodov-900-ml-organik-miks-new/" TargetMode="External"/><Relationship Id="rId413" Type="http://schemas.openxmlformats.org/officeDocument/2006/relationships/hyperlink" Target="https://organic-mix.ru/catalog/eliksir-1-dlya-ovoshchey-900-ml-new/" TargetMode="External"/><Relationship Id="rId414" Type="http://schemas.openxmlformats.org/officeDocument/2006/relationships/hyperlink" Target="https://organic-mix.ru/catalog/eliksir-1-dlya-ogurtsov-900-ml-organik-miks-new/" TargetMode="External"/><Relationship Id="rId415" Type="http://schemas.openxmlformats.org/officeDocument/2006/relationships/hyperlink" Target="https://organic-mix.ru/catalog/eliksir-1-dlya-pertsev-5-l-organik-miks-new/" TargetMode="External"/><Relationship Id="rId416" Type="http://schemas.openxmlformats.org/officeDocument/2006/relationships/hyperlink" Target="https://organic-mix.ru/catalog/eliksir-1-dlya-petuni-5-l-organik-miks-new/" TargetMode="External"/><Relationship Id="rId417" Type="http://schemas.openxmlformats.org/officeDocument/2006/relationships/hyperlink" Target="https://organic-mix.ru/catalog/eliksir-1-dlya-pionov-5-l-organik-miks-new/" TargetMode="External"/><Relationship Id="rId418" Type="http://schemas.openxmlformats.org/officeDocument/2006/relationships/hyperlink" Target="https://organic-mix.ru/catalog/eliksir-1-dlya-plodovykh-derevev-5-l-organik-miks-new/" TargetMode="External"/><Relationship Id="rId419" Type="http://schemas.openxmlformats.org/officeDocument/2006/relationships/hyperlink" Target="https://organic-mix.ru/catalog/eliksir-1-dlya-rassady-900-ml-new/" TargetMode="External"/><Relationship Id="rId420" Type="http://schemas.openxmlformats.org/officeDocument/2006/relationships/hyperlink" Target="https://organic-mix.ru/catalog/eliksir-1-dlya-roz-900-ml-organik-miks-new/" TargetMode="External"/><Relationship Id="rId421" Type="http://schemas.openxmlformats.org/officeDocument/2006/relationships/hyperlink" Target="https://organic-mix.ru/catalog/eliksir-1-dlya-tomatov-900-ml-new/" TargetMode="External"/><Relationship Id="rId422" Type="http://schemas.openxmlformats.org/officeDocument/2006/relationships/hyperlink" Target="https://organic-mix.ru/catalog/eliksir-1-dlya-tui-5-l-organik-miks-new/" TargetMode="External"/><Relationship Id="rId423" Type="http://schemas.openxmlformats.org/officeDocument/2006/relationships/hyperlink" Target="https://organic-mix.ru/catalog/eliksir-1-dlya-tyulpanov-i-lukovichnykh-tsvetov-900-ml-organik-miks-new/" TargetMode="External"/><Relationship Id="rId424" Type="http://schemas.openxmlformats.org/officeDocument/2006/relationships/hyperlink" Target="https://organic-mix.ru/catalog/eliksir-1-dlya-fikusov-i-palm-900-ml-new/" TargetMode="External"/><Relationship Id="rId425" Type="http://schemas.openxmlformats.org/officeDocument/2006/relationships/hyperlink" Target="https://organic-mix.ru/catalog/eliksir-1-dlya-khvoynykh-5-l-organik-miks-new/" TargetMode="External"/><Relationship Id="rId426" Type="http://schemas.openxmlformats.org/officeDocument/2006/relationships/hyperlink" Target="https://organic-mix.ru/catalog/eliksir-1-dlya-tsvetov-900-ml-new/" TargetMode="External"/><Relationship Id="rId427" Type="http://schemas.openxmlformats.org/officeDocument/2006/relationships/hyperlink" Target="https://organic-mix.ru/catalog/eliksir-1-dlya-chesnoka-i-luka-900-ml-organik-miks-new/" TargetMode="External"/><Relationship Id="rId428" Type="http://schemas.openxmlformats.org/officeDocument/2006/relationships/hyperlink" Target="https://organic-mix.ru/catalog/eliksir-1-universalnyy-900-ml-new/" TargetMode="External"/><Relationship Id="rId429" Type="http://schemas.openxmlformats.org/officeDocument/2006/relationships/hyperlink" Target="https://organic-mix.ru/catalog/eliksir-1-dlya-limonov-i-tsitrusovykh/" TargetMode="External"/><Relationship Id="rId430" Type="http://schemas.openxmlformats.org/officeDocument/2006/relationships/hyperlink" Target="https://organic-mix.ru/catalog/eliksir-1-dlya-ovoshchey-900-ml-organik-miks/" TargetMode="External"/><Relationship Id="rId431" Type="http://schemas.openxmlformats.org/officeDocument/2006/relationships/hyperlink" Target="https://organic-mix.ru/catalog/eliksir-1-dlya-yagodnykh-900-ml-organik-miks/" TargetMode="External"/><Relationship Id="rId432" Type="http://schemas.openxmlformats.org/officeDocument/2006/relationships/hyperlink" Target="https://organic-mix.ru/catalog/eliksir-1-osenniy-900-ml-organik-miks/" TargetMode="External"/><Relationship Id="rId433" Type="http://schemas.openxmlformats.org/officeDocument/2006/relationships/hyperlink" Target="https://organic-mix.ru/catalog/em-patoka-900-ml-organik-miks/" TargetMode="External"/><Relationship Id="rId434" Type="http://schemas.openxmlformats.org/officeDocument/2006/relationships/hyperlink" Target="https://organic-mix.ru/catalog/fishenerdzhi-30-gr-organik-miks-/" TargetMode="External"/><Relationship Id="rId435" Type="http://schemas.openxmlformats.org/officeDocument/2006/relationships/hyperlink" Target="https://organic-mix.ru/catalog/yaytsekhrust-dlya-komnatnykh-rasteniy-15-ml/" TargetMode="External"/><Relationship Id="rId436" Type="http://schemas.openxmlformats.org/officeDocument/2006/relationships/hyperlink" Target="https://organic-mix.ru/catalog/yaytsekhrust-dlya-rassady-15-ml/" TargetMode="External"/><Relationship Id="rId437" Type="http://schemas.openxmlformats.org/officeDocument/2006/relationships/hyperlink" Target="https://organic-mix.ru/catalog/yaytsekhrust-dlya-teplits-150-ml/" TargetMode="External"/><Relationship Id="rId438" Type="http://schemas.openxmlformats.org/officeDocument/2006/relationships/hyperlink" Target="https://organic-mix.ru/catalog/yaytsekhrust-universalnyy-150-ml/" TargetMode="External"/><Relationship Id="rId439" Type="http://schemas.openxmlformats.org/officeDocument/2006/relationships/hyperlink" Target="https://organic-mix.ru/catalog/aminorost-12-gr-1-1-kombo-ot-organik-miks-aktsiya/" TargetMode="External"/><Relationship Id="rId440" Type="http://schemas.openxmlformats.org/officeDocument/2006/relationships/hyperlink" Target="https://organic-mix.ru/catalog/antizima-700-gr-1-1-kombo-ot-organik-miks-aktsiya/" TargetMode="External"/><Relationship Id="rId441" Type="http://schemas.openxmlformats.org/officeDocument/2006/relationships/hyperlink" Target="https://organic-mix.ru/catalog/antizima-60-gr-1-1-kombo-ot-organik-miks-aktsiya/" TargetMode="External"/><Relationship Id="rId442" Type="http://schemas.openxmlformats.org/officeDocument/2006/relationships/hyperlink" Target="https://organic-mix.ru/catalog/antizima-210-gr-1-1-kombo-ot-organik-miks-aktsiya/" TargetMode="External"/><Relationship Id="rId443" Type="http://schemas.openxmlformats.org/officeDocument/2006/relationships/hyperlink" Target="https://organic-mix.ru/catalog/antizima-1400-gr-1-1-kombo-ot-organik-miks-aktsiya/" TargetMode="External"/><Relationship Id="rId444" Type="http://schemas.openxmlformats.org/officeDocument/2006/relationships/hyperlink" Target="https://organic-mix.ru/catalog/antizima-24-gr-1-1-kombo-ot-organik-miks-aktsiya/" TargetMode="External"/><Relationship Id="rId445" Type="http://schemas.openxmlformats.org/officeDocument/2006/relationships/hyperlink" Target="https://organic-mix.ru/catalog/antistress-5-sht-kombo-ot-organik-miks/" TargetMode="External"/><Relationship Id="rId446" Type="http://schemas.openxmlformats.org/officeDocument/2006/relationships/hyperlink" Target="https://organic-mix.ru/catalog/antitripsin-10-sht-kombo-ot-organik-miks/" TargetMode="External"/><Relationship Id="rId447" Type="http://schemas.openxmlformats.org/officeDocument/2006/relationships/hyperlink" Target="https://organic-mix.ru/catalog/antitripsin-5-sht-kombo-ot-organik-miks/" TargetMode="External"/><Relationship Id="rId448" Type="http://schemas.openxmlformats.org/officeDocument/2006/relationships/hyperlink" Target="https://organic-mix.ru/catalog/aromashchit-universal-10-sht-kombo-ot-organik-miks/" TargetMode="External"/><Relationship Id="rId449" Type="http://schemas.openxmlformats.org/officeDocument/2006/relationships/hyperlink" Target="https://organic-mix.ru/catalog/aromashchit-universal-5-sht-kombo-ot-organik-miks/" TargetMode="External"/><Relationship Id="rId450" Type="http://schemas.openxmlformats.org/officeDocument/2006/relationships/hyperlink" Target="https://organic-mix.ru/catalog/bez-khloroza-5-sht-kombo-ot-organik-miks/" TargetMode="External"/><Relationship Id="rId451" Type="http://schemas.openxmlformats.org/officeDocument/2006/relationships/hyperlink" Target="https://organic-mix.ru/catalog/bezpautin-10-sht-kombo-ot-organik-miks/" TargetMode="External"/><Relationship Id="rId452" Type="http://schemas.openxmlformats.org/officeDocument/2006/relationships/hyperlink" Target="https://organic-mix.ru/catalog/bezpautin-5-sht-kombo-ot-organik-miks/" TargetMode="External"/><Relationship Id="rId453" Type="http://schemas.openxmlformats.org/officeDocument/2006/relationships/hyperlink" Target="https://organic-mix.ru/catalog/bio-blaster-universal-10-sht-kombo-ot-organik-miks/" TargetMode="External"/><Relationship Id="rId454" Type="http://schemas.openxmlformats.org/officeDocument/2006/relationships/hyperlink" Target="https://organic-mix.ru/catalog/bio-blaster-universal-5-sht-kombo-ot-organik-miks/" TargetMode="External"/><Relationship Id="rId455" Type="http://schemas.openxmlformats.org/officeDocument/2006/relationships/hyperlink" Target="https://organic-mix.ru/catalog/bio-khanter-universal-10-sht-kombo-ot-organik-miks/" TargetMode="External"/><Relationship Id="rId456" Type="http://schemas.openxmlformats.org/officeDocument/2006/relationships/hyperlink" Target="https://organic-mix.ru/catalog/bio-khanter-universal-5-sht-kombo-ot-organik-miks/" TargetMode="External"/><Relationship Id="rId457" Type="http://schemas.openxmlformats.org/officeDocument/2006/relationships/hyperlink" Target="https://organic-mix.ru/catalog/biokoren-1300-gr-1-1-kombo-ot-organik-miks-aktsiya/" TargetMode="External"/><Relationship Id="rId458" Type="http://schemas.openxmlformats.org/officeDocument/2006/relationships/hyperlink" Target="https://organic-mix.ru/catalog/bogatyy-urozhay-nabor-dlya-ogurtsov-ot-organik-miks-zhmk-900-i-bz-1l/" TargetMode="External"/><Relationship Id="rId459" Type="http://schemas.openxmlformats.org/officeDocument/2006/relationships/hyperlink" Target="https://organic-mix.ru/catalog/bogatyy-urozhay-nabor-dlya-tomatov-ot-organik-miks-zhmk-900-i-bz-1l/" TargetMode="External"/><Relationship Id="rId460" Type="http://schemas.openxmlformats.org/officeDocument/2006/relationships/hyperlink" Target="https://organic-mix.ru/catalog/burnyy-rost-5-sht-kombo-ot-organik-miks/" TargetMode="External"/><Relationship Id="rId461" Type="http://schemas.openxmlformats.org/officeDocument/2006/relationships/hyperlink" Target="https://organic-mix.ru/catalog/vechno-zelenye-kombo-ot-organik-miks/" TargetMode="External"/><Relationship Id="rId462" Type="http://schemas.openxmlformats.org/officeDocument/2006/relationships/hyperlink" Target="https://organic-mix.ru/catalog/vosstanovlenie-komnatnykh-rasteniy-kombo-ot-organik-miks/" TargetMode="External"/><Relationship Id="rId463" Type="http://schemas.openxmlformats.org/officeDocument/2006/relationships/hyperlink" Target="https://organic-mix.ru/catalog/vyrashchivanie-rassady-eustomy-kombo-ot-organik-miks-podarok-biokoren-banochka-20-gr-/" TargetMode="External"/><Relationship Id="rId464" Type="http://schemas.openxmlformats.org/officeDocument/2006/relationships/hyperlink" Target="https://organic-mix.ru/catalog/godovoy-nabor-morskogo-kokteylya-na-2-sotki-ot-organik-miks-/" TargetMode="External"/><Relationship Id="rId465" Type="http://schemas.openxmlformats.org/officeDocument/2006/relationships/hyperlink" Target="https://organic-mix.ru/catalog/dozrevatel-tomatov-ovoshchey-yagod-kombo-ot-organik-miks-aktsiya/" TargetMode="External"/><Relationship Id="rId466" Type="http://schemas.openxmlformats.org/officeDocument/2006/relationships/hyperlink" Target="https://organic-mix.ru/catalog/druzhnye-vskhody-kombo-ot-organik-miks/" TargetMode="External"/><Relationship Id="rId467" Type="http://schemas.openxmlformats.org/officeDocument/2006/relationships/hyperlink" Target="https://organic-mix.ru/catalog/zdorovyy-urozhay-nabor-dlya-klubniki-ot-organik-miks-vmk-150-i-bz-1l-/" TargetMode="External"/><Relationship Id="rId468" Type="http://schemas.openxmlformats.org/officeDocument/2006/relationships/hyperlink" Target="https://organic-mix.ru/catalog/zdorovyy-urozhay-nabor-dlya-ogurtsov-ot-organik-miks-vmk-150-i-bz-1l-/" TargetMode="External"/><Relationship Id="rId469" Type="http://schemas.openxmlformats.org/officeDocument/2006/relationships/hyperlink" Target="https://organic-mix.ru/catalog/zdorovyy-urozhay-nabor-dlya-tomatov-ot-organik-miks-vmk-150-i-bz-1l-/" TargetMode="External"/><Relationship Id="rId470" Type="http://schemas.openxmlformats.org/officeDocument/2006/relationships/hyperlink" Target="https://organic-mix.ru/catalog/zdorovyy-urozhay-nabor-dlya-tsvetov-ot-organik-miks-vmk-150-i-bz-1l-/" TargetMode="External"/><Relationship Id="rId471" Type="http://schemas.openxmlformats.org/officeDocument/2006/relationships/hyperlink" Target="https://organic-mix.ru/catalog/klassik-kombo-ot-organik-miks/" TargetMode="External"/><Relationship Id="rId472" Type="http://schemas.openxmlformats.org/officeDocument/2006/relationships/hyperlink" Target="https://organic-mix.ru/catalog/krepkaya-rassada-kombo-ot-organik-miks/" TargetMode="External"/><Relationship Id="rId473" Type="http://schemas.openxmlformats.org/officeDocument/2006/relationships/hyperlink" Target="https://organic-mix.ru/catalog/kukaruka-organik-miks-7-kg-vedro/" TargetMode="External"/><Relationship Id="rId474" Type="http://schemas.openxmlformats.org/officeDocument/2006/relationships/hyperlink" Target="https://organic-mix.ru/catalog/lukovichnoe-kombo-ot-organik-miks-podarok/" TargetMode="External"/><Relationship Id="rId475" Type="http://schemas.openxmlformats.org/officeDocument/2006/relationships/hyperlink" Target="https://organic-mix.ru/catalog/lukovichnye-tsvety-kombo-ot-organik-miks-podarok-kostnaya-muka-850-gr-/" TargetMode="External"/><Relationship Id="rId476" Type="http://schemas.openxmlformats.org/officeDocument/2006/relationships/hyperlink" Target="https://organic-mix.ru/catalog/million-roz-kombo-ot-organik-miks/" TargetMode="External"/><Relationship Id="rId477" Type="http://schemas.openxmlformats.org/officeDocument/2006/relationships/hyperlink" Target="https://organic-mix.ru/catalog/morskaya-klassika-kombo-ot-organik-miks/" TargetMode="External"/><Relationship Id="rId478" Type="http://schemas.openxmlformats.org/officeDocument/2006/relationships/hyperlink" Target="https://organic-mix.ru/catalog/morskoe-assorti-kombo-ot-organik-miks/" TargetMode="External"/><Relationship Id="rId479" Type="http://schemas.openxmlformats.org/officeDocument/2006/relationships/hyperlink" Target="https://organic-mix.ru/catalog/nabor-vesenniy-1-dlya-zapravki-gryadok-ot-organik-miks-2024/" TargetMode="External"/><Relationship Id="rId480" Type="http://schemas.openxmlformats.org/officeDocument/2006/relationships/hyperlink" Target="https://organic-mix.ru/catalog/nabor-vesenniy-2-dlya-vesenney-podkormki-ot-organik-miks-2024/" TargetMode="External"/><Relationship Id="rId481" Type="http://schemas.openxmlformats.org/officeDocument/2006/relationships/hyperlink" Target="https://organic-mix.ru/catalog/nabor-godovoy-zapas-udobreniy-ot-organik-miks/" TargetMode="External"/><Relationship Id="rId482" Type="http://schemas.openxmlformats.org/officeDocument/2006/relationships/hyperlink" Target="https://organic-mix.ru/catalog/nabor-dlya-vyrashchivaniya-gigantskoy-tykvy/" TargetMode="External"/><Relationship Id="rId483" Type="http://schemas.openxmlformats.org/officeDocument/2006/relationships/hyperlink" Target="https://organic-mix.ru/catalog/nabor-dlya-domashnego-ogoroda-na-okne-organik-miks-2023/" TargetMode="External"/><Relationship Id="rId484" Type="http://schemas.openxmlformats.org/officeDocument/2006/relationships/hyperlink" Target="https://organic-mix.ru/catalog/nabor-dlya-ispytateley-5-ot-organik-miks-ispytatelnyy-obrazets-/" TargetMode="External"/><Relationship Id="rId485" Type="http://schemas.openxmlformats.org/officeDocument/2006/relationships/hyperlink" Target="https://organic-mix.ru/catalog/nabor-dlya-ispytateley-6-ot-organik-miks-ispytatelnyy-obrazets-/" TargetMode="External"/><Relationship Id="rId486" Type="http://schemas.openxmlformats.org/officeDocument/2006/relationships/hyperlink" Target="https://organic-mix.ru/catalog/nabor-dlya-kompostirovaniya/" TargetMode="External"/><Relationship Id="rId487" Type="http://schemas.openxmlformats.org/officeDocument/2006/relationships/hyperlink" Target="https://organic-mix.ru/catalog/nabor-dlya-posadki-chesnoka-ot-organik-miks-podarok-kaltsegarden-1-3kg-/" TargetMode="External"/><Relationship Id="rId488" Type="http://schemas.openxmlformats.org/officeDocument/2006/relationships/hyperlink" Target="https://organic-mix.ru/catalog/nabor-dlya-rassady-2024-g-s-biogumusom-i-razrykhlinom-organik-miks-1/" TargetMode="External"/><Relationship Id="rId489" Type="http://schemas.openxmlformats.org/officeDocument/2006/relationships/hyperlink" Target="https://organic-mix.ru/catalog/nabor-dlya-rassady-2024-g-s-gotovym-gruntom-organik-miks-2/" TargetMode="External"/><Relationship Id="rId490" Type="http://schemas.openxmlformats.org/officeDocument/2006/relationships/hyperlink" Target="https://organic-mix.ru/catalog/nabor-zapravka-gryadki-pro-korneplody-ot-organik-miks-/" TargetMode="External"/><Relationship Id="rId491" Type="http://schemas.openxmlformats.org/officeDocument/2006/relationships/hyperlink" Target="https://organic-mix.ru/catalog/nabor-zapravka-gryadki-pro-ovoshchi-ot-organik-miks-/" TargetMode="External"/><Relationship Id="rId492" Type="http://schemas.openxmlformats.org/officeDocument/2006/relationships/hyperlink" Target="https://organic-mix.ru/catalog/nabor-kompleksnaya-zabota-ot-organik-miks-/" TargetMode="External"/><Relationship Id="rId493" Type="http://schemas.openxmlformats.org/officeDocument/2006/relationships/hyperlink" Target="https://organic-mix.ru/catalog/nabor-morskoy-kokteyl-dlya-rassady-gel-i-tonik-kraft/" TargetMode="External"/><Relationship Id="rId494" Type="http://schemas.openxmlformats.org/officeDocument/2006/relationships/hyperlink" Target="https://organic-mix.ru/catalog/nabor-novogodniy-2024/" TargetMode="External"/><Relationship Id="rId495" Type="http://schemas.openxmlformats.org/officeDocument/2006/relationships/hyperlink" Target="https://organic-mix.ru/catalog/nabor-ovoshchnaya-sila-ot-organik-miks-/" TargetMode="External"/><Relationship Id="rId496" Type="http://schemas.openxmlformats.org/officeDocument/2006/relationships/hyperlink" Target="https://organic-mix.ru/catalog/nabor-osenniy-2024-ot-organik-miks/" TargetMode="External"/><Relationship Id="rId497" Type="http://schemas.openxmlformats.org/officeDocument/2006/relationships/hyperlink" Target="https://organic-mix.ru/catalog/nabor-podarochnyy-8-marta-ot-organik-miks-2024/" TargetMode="External"/><Relationship Id="rId498" Type="http://schemas.openxmlformats.org/officeDocument/2006/relationships/hyperlink" Target="https://organic-mix.ru/catalog/nabor-rassada-pro-ot-organik-miks/" TargetMode="External"/><Relationship Id="rId499" Type="http://schemas.openxmlformats.org/officeDocument/2006/relationships/hyperlink" Target="https://organic-mix.ru/catalog/nabor-rastsvetet-ot-organik-miks-/" TargetMode="External"/><Relationship Id="rId500" Type="http://schemas.openxmlformats.org/officeDocument/2006/relationships/hyperlink" Target="https://organic-mix.ru/catalog/" TargetMode="External"/><Relationship Id="rId501" Type="http://schemas.openxmlformats.org/officeDocument/2006/relationships/hyperlink" Target="https://organic-mix.ru/catalog/nabor-dlya-klubniki/" TargetMode="External"/><Relationship Id="rId502" Type="http://schemas.openxmlformats.org/officeDocument/2006/relationships/hyperlink" Target="https://organic-mix.ru/catalog/nabor-dlya-ogurtsov/" TargetMode="External"/><Relationship Id="rId503" Type="http://schemas.openxmlformats.org/officeDocument/2006/relationships/hyperlink" Target="https://organic-mix.ru/catalog/nabor-dlya-tomatov/" TargetMode="External"/><Relationship Id="rId504" Type="http://schemas.openxmlformats.org/officeDocument/2006/relationships/hyperlink" Target="https://organic-mix.ru/catalog/nabor-yagodnyy-miks-ot-organik-miks-/" TargetMode="External"/><Relationship Id="rId505" Type="http://schemas.openxmlformats.org/officeDocument/2006/relationships/hyperlink" Target="https://organic-mix.ru/catalog/ogurtsy-vedrami-kombo-ot-organik-miks/" TargetMode="External"/><Relationship Id="rId506" Type="http://schemas.openxmlformats.org/officeDocument/2006/relationships/hyperlink" Target="https://organic-mix.ru/catalog/osennee-kombo-ot-organik-miks-podarok/" TargetMode="External"/><Relationship Id="rId507" Type="http://schemas.openxmlformats.org/officeDocument/2006/relationships/hyperlink" Target="https://organic-mix.ru/catalog/osennee-dlya-khvoynykh-kombo-ot-organik-miks-podarok-antizima-60-gr-/" TargetMode="External"/><Relationship Id="rId508" Type="http://schemas.openxmlformats.org/officeDocument/2006/relationships/hyperlink" Target="https://organic-mix.ru/catalog/osen-kombo-ot-organik-miks-podarok/" TargetMode="External"/><Relationship Id="rId509" Type="http://schemas.openxmlformats.org/officeDocument/2006/relationships/hyperlink" Target="https://organic-mix.ru/catalog/peresadka-komnatnykh-rasteniy-kombo-ot-organik-miks-podarok-eliksir-1-dlya-kom-rasteniy-250-/" TargetMode="External"/><Relationship Id="rId510" Type="http://schemas.openxmlformats.org/officeDocument/2006/relationships/hyperlink" Target="https://organic-mix.ru/catalog/petuni-kombo-ot-organik-miks-podarok/" TargetMode="External"/><Relationship Id="rId511" Type="http://schemas.openxmlformats.org/officeDocument/2006/relationships/hyperlink" Target="https://organic-mix.ru/catalog/podgotovka-k-zime-kombo-ot-organik-miks-podarok-osenee-850-gr-/" TargetMode="External"/><Relationship Id="rId512" Type="http://schemas.openxmlformats.org/officeDocument/2006/relationships/hyperlink" Target="https://organic-mix.ru/catalog/podkormka-komnatnykh-rasteniy-kombo-ot-organik-miks-podarok-bs-dlya-tsvetov-25-gr-v-sashe/" TargetMode="External"/><Relationship Id="rId513" Type="http://schemas.openxmlformats.org/officeDocument/2006/relationships/hyperlink" Target="https://organic-mix.ru/catalog/pochvochist-universal-10-sht-kombo-ot-organik-miks/" TargetMode="External"/><Relationship Id="rId514" Type="http://schemas.openxmlformats.org/officeDocument/2006/relationships/hyperlink" Target="https://organic-mix.ru/catalog/pochvochist-universal-5-sht-kombo-ot-organik-miks/" TargetMode="External"/><Relationship Id="rId515" Type="http://schemas.openxmlformats.org/officeDocument/2006/relationships/hyperlink" Target="https://organic-mix.ru/catalog/pyshnaya-gortenziya-kombo-ot-organik-miks/" TargetMode="External"/><Relationship Id="rId516" Type="http://schemas.openxmlformats.org/officeDocument/2006/relationships/hyperlink" Target="https://organic-mix.ru/catalog/sazhentsy-kombo-ot-organik-miks-podarok-antizima-60-gr-/" TargetMode="External"/><Relationship Id="rId517" Type="http://schemas.openxmlformats.org/officeDocument/2006/relationships/hyperlink" Target="https://organic-mix.ru/catalog/silnyy-koren-5-sht-kombo-ot-organik-miks/" TargetMode="External"/><Relationship Id="rId518" Type="http://schemas.openxmlformats.org/officeDocument/2006/relationships/hyperlink" Target="https://organic-mix.ru/catalog/sinyaya-gortenziya-kombo-ot-organik-miks/" TargetMode="External"/><Relationship Id="rId519" Type="http://schemas.openxmlformats.org/officeDocument/2006/relationships/hyperlink" Target="https://organic-mix.ru/catalog/sladkaya-yagoda-kombo-ot-organik-miks/" TargetMode="External"/><Relationship Id="rId520" Type="http://schemas.openxmlformats.org/officeDocument/2006/relationships/hyperlink" Target="https://organic-mix.ru/catalog/stopsliznyak-10-sht-kombo-ot-organik-miks/" TargetMode="External"/><Relationship Id="rId521" Type="http://schemas.openxmlformats.org/officeDocument/2006/relationships/hyperlink" Target="https://organic-mix.ru/catalog/stopsliznyak-5-sht-kombo-ot-organik-miks/" TargetMode="External"/><Relationship Id="rId522" Type="http://schemas.openxmlformats.org/officeDocument/2006/relationships/hyperlink" Target="https://organic-mix.ru/catalog/stoptlin-10-sht-kombo-ot-organik-miks/" TargetMode="External"/><Relationship Id="rId523" Type="http://schemas.openxmlformats.org/officeDocument/2006/relationships/hyperlink" Target="https://organic-mix.ru/catalog/stoptlin-5-sht-kombo-ot-organik-miks/" TargetMode="External"/><Relationship Id="rId524" Type="http://schemas.openxmlformats.org/officeDocument/2006/relationships/hyperlink" Target="https://organic-mix.ru/catalog/strukturin/" TargetMode="External"/><Relationship Id="rId525" Type="http://schemas.openxmlformats.org/officeDocument/2006/relationships/hyperlink" Target="https://organic-mix.ru/catalog/termometr-dlya-pochvy/" TargetMode="External"/><Relationship Id="rId526" Type="http://schemas.openxmlformats.org/officeDocument/2006/relationships/hyperlink" Target="https://organic-mix.ru/catalog/tekhnologicheskiy-kalendar-ezhednevnik-sadovoda-na-2025-g-ot-organik-miks/" TargetMode="External"/><Relationship Id="rId527" Type="http://schemas.openxmlformats.org/officeDocument/2006/relationships/hyperlink" Target="https://organic-mix.ru/catalog/tlinin-10-sht-kombo-ot-organik-miks/" TargetMode="External"/><Relationship Id="rId528" Type="http://schemas.openxmlformats.org/officeDocument/2006/relationships/hyperlink" Target="https://organic-mix.ru/catalog/tlinin-5-sht-kombo-ot-organik-miks/" TargetMode="External"/><Relationship Id="rId529" Type="http://schemas.openxmlformats.org/officeDocument/2006/relationships/hyperlink" Target="https://organic-mix.ru/catalog/tomatnyy-bum-kombo-ot-organik-miks/" TargetMode="External"/><Relationship Id="rId530" Type="http://schemas.openxmlformats.org/officeDocument/2006/relationships/hyperlink" Target="https://organic-mix.ru/catalog/tomatnyy-mega-bum-kombo-ot-organik-miks/" TargetMode="External"/><Relationship Id="rId531" Type="http://schemas.openxmlformats.org/officeDocument/2006/relationships/hyperlink" Target="https://organic-mix.ru/catalog/tomaty-bez-gnili-5-sht-kombo-ot-organik-miks/" TargetMode="External"/><Relationship Id="rId532" Type="http://schemas.openxmlformats.org/officeDocument/2006/relationships/hyperlink" Target="https://organic-mix.ru/catalog/uskoritel-sozrevaniya-kombo-ot-organik-miks-/" TargetMode="External"/><Relationship Id="rId533" Type="http://schemas.openxmlformats.org/officeDocument/2006/relationships/hyperlink" Target="https://organic-mix.ru/catalog/yagodnyy-bum-kombo-ot-organik-miks/" TargetMode="External"/><Relationship Id="rId534" Type="http://schemas.openxmlformats.org/officeDocument/2006/relationships/hyperlink" Target="https://organic-mix.ru/catalog/yaytsekhrust-universal-10-sht-kombo-ot-organik-miks/" TargetMode="External"/><Relationship Id="rId535" Type="http://schemas.openxmlformats.org/officeDocument/2006/relationships/hyperlink" Target="https://organic-mix.ru/catalog/yaytsekhrust-universal-5-sht-kombo-ot-organik-miks/" TargetMode="External"/><Relationship Id="rId536" Type="http://schemas.openxmlformats.org/officeDocument/2006/relationships/hyperlink" Target="https://organic-mix.ru/catalog/yashchik-derevyannyy-organik-miks-46kh30kh25/" TargetMode="External"/><Relationship Id="rId537" Type="http://schemas.openxmlformats.org/officeDocument/2006/relationships/hyperlink" Target="https://www.bashinkom.ru/products/ojz/Pochvoozdoravlivayushchiymikrobiologicheskiypreparat33Bogatyrya1l" TargetMode="External"/><Relationship Id="rId538" Type="http://schemas.openxmlformats.org/officeDocument/2006/relationships/hyperlink" Target="https://www.bashinkom.ru/products/ojz/Pochvoozdoravlivayushchiymikrobiologicheskiypreparat33Bogatyryagranulirovannyy08kg" TargetMode="External"/><Relationship Id="rId539" Type="http://schemas.openxmlformats.org/officeDocument/2006/relationships/hyperlink" Target="https://www.bashinkom.ru/products/ojz/AmbliseyuskukumerisAmblyseiuscucumeris" TargetMode="External"/><Relationship Id="rId540" Type="http://schemas.openxmlformats.org/officeDocument/2006/relationships/hyperlink" Target="https://www.bashinkom.ru/products/avz/Entomofagzakrytogoiotkrytogogrunta" TargetMode="External"/><Relationship Id="rId541" Type="http://schemas.openxmlformats.org/officeDocument/2006/relationships/hyperlink" Target="https://www.bashinkom.ru/products/ojz/EntomofagAmbliseyusmontdorensis" TargetMode="External"/><Relationship Id="rId542" Type="http://schemas.openxmlformats.org/officeDocument/2006/relationships/hyperlink" Target="https://www.bashinkom.ru/products/avz/AmbliseyusmontdorensisAmblyseiusmontdorensis" TargetMode="External"/><Relationship Id="rId543" Type="http://schemas.openxmlformats.org/officeDocument/2006/relationships/hyperlink" Target="https://www.bashinkom.ru/products/ojz/AntiGnilPoroshokFitosporinMP" TargetMode="External"/><Relationship Id="rId544" Type="http://schemas.openxmlformats.org/officeDocument/2006/relationships/hyperlink" Target="https://www.bashinkom.ru/products/ojz/AntiGnilPoroshokFitosporinMP30g" TargetMode="External"/><Relationship Id="rId545" Type="http://schemas.openxmlformats.org/officeDocument/2006/relationships/hyperlink" Target="https://www.bashinkom.ru/products/avz/BiopolimikMo" TargetMode="External"/><Relationship Id="rId546" Type="http://schemas.openxmlformats.org/officeDocument/2006/relationships/hyperlink" Target="https://www.bashinkom.ru/products/avz/BashpolimikNSMg" TargetMode="External"/><Relationship Id="rId547" Type="http://schemas.openxmlformats.org/officeDocument/2006/relationships/hyperlink" Target="https://www.bashinkom.ru/products/avz/BIOPOLIMIKCu" TargetMode="External"/><Relationship Id="rId548" Type="http://schemas.openxmlformats.org/officeDocument/2006/relationships/hyperlink" Target="https://www.bashinkom.ru/products/avz/BiopolimikCuZn" TargetMode="External"/><Relationship Id="rId549" Type="http://schemas.openxmlformats.org/officeDocument/2006/relationships/hyperlink" Target="https://www.bashinkom.ru/products/avz/BiopolimikKompleksnyMiks" TargetMode="External"/><Relationship Id="rId550" Type="http://schemas.openxmlformats.org/officeDocument/2006/relationships/hyperlink" Target="https://www.bashinkom.ru/products/avz/BiopolimikKompleksnyySemena" TargetMode="External"/><Relationship Id="rId551" Type="http://schemas.openxmlformats.org/officeDocument/2006/relationships/hyperlink" Target="https://www.bashinkom.ru/products/ojz/Beyvreditelya500ml" TargetMode="External"/><Relationship Id="rId552" Type="http://schemas.openxmlformats.org/officeDocument/2006/relationships/hyperlink" Target="https://www.bashinkom.ru/products/ojz/BioAzFK05l" TargetMode="External"/><Relationship Id="rId553" Type="http://schemas.openxmlformats.org/officeDocument/2006/relationships/hyperlink" Target="https://www.bashinkom.ru/products/avz/BioAzFK" TargetMode="External"/><Relationship Id="rId554" Type="http://schemas.openxmlformats.org/officeDocument/2006/relationships/hyperlink" Target="https://www.bashinkom.ru/products/avz/Biolipostim" TargetMode="External"/><Relationship Id="rId555" Type="http://schemas.openxmlformats.org/officeDocument/2006/relationships/hyperlink" Target="https://www.bashinkom.ru/products/ojz/BIONEKS12kg" TargetMode="External"/><Relationship Id="rId556" Type="http://schemas.openxmlformats.org/officeDocument/2006/relationships/hyperlink" Target="https://www.bashinkom.ru/products/avz/BioneksKemiRastvorimyy1401620" TargetMode="External"/><Relationship Id="rId557" Type="http://schemas.openxmlformats.org/officeDocument/2006/relationships/hyperlink" Target="https://www.bashinkom.ru/products/avz/BioneksKemiRastvorimyy2402712" TargetMode="External"/><Relationship Id="rId558" Type="http://schemas.openxmlformats.org/officeDocument/2006/relationships/hyperlink" Target="https://www.bashinkom.ru/products/avz/BioneksKemiRastvorimyy18181811" TargetMode="External"/><Relationship Id="rId559" Type="http://schemas.openxmlformats.org/officeDocument/2006/relationships/hyperlink" Target="https://www.bashinkom.ru/products/avz/BioneksKemiRastvorimyy" TargetMode="External"/><Relationship Id="rId560" Type="http://schemas.openxmlformats.org/officeDocument/2006/relationships/hyperlink" Target="https://www.bashinkom.ru/products/avz/BioneksKemiRastvorimyy15112512" TargetMode="External"/><Relationship Id="rId561" Type="http://schemas.openxmlformats.org/officeDocument/2006/relationships/hyperlink" Target="https://www.bashinkom.ru/products/avz/BioneksKemiZHidkiyNCa710" TargetMode="External"/><Relationship Id="rId562" Type="http://schemas.openxmlformats.org/officeDocument/2006/relationships/hyperlink" Target="https://www.bashinkom.ru/products/avz/BioneksKemiZHidkiy01820ME" TargetMode="External"/><Relationship Id="rId563" Type="http://schemas.openxmlformats.org/officeDocument/2006/relationships/hyperlink" Target="https://www.bashinkom.ru/products/avz/BioneksKemiZHidkiy101010ME" TargetMode="External"/><Relationship Id="rId564" Type="http://schemas.openxmlformats.org/officeDocument/2006/relationships/hyperlink" Target="https://www.bashinkom.ru/products/avz/BioneksKemiZHidkiy10300ME" TargetMode="External"/><Relationship Id="rId565" Type="http://schemas.openxmlformats.org/officeDocument/2006/relationships/hyperlink" Target="https://www.bashinkom.ru/products/avz/BioneksKemiZHidkiy1578ME" TargetMode="External"/><Relationship Id="rId566" Type="http://schemas.openxmlformats.org/officeDocument/2006/relationships/hyperlink" Target="https://www.bashinkom.ru/products/avz/BioneksKemiZHidkiy2144ME" TargetMode="External"/><Relationship Id="rId567" Type="http://schemas.openxmlformats.org/officeDocument/2006/relationships/hyperlink" Target="https://www.bashinkom.ru/products/avz/BioneksKemiRastvorimyy4015207" TargetMode="External"/><Relationship Id="rId568" Type="http://schemas.openxmlformats.org/officeDocument/2006/relationships/hyperlink" Target="https://www.bashinkom.ru/products/avz/BioneksKemiRastvorimyy35115076" TargetMode="External"/><Relationship Id="rId569" Type="http://schemas.openxmlformats.org/officeDocument/2006/relationships/hyperlink" Target="https://www.bashinkom.ru/products/avz/BiopolimikCo" TargetMode="External"/><Relationship Id="rId570" Type="http://schemas.openxmlformats.org/officeDocument/2006/relationships/hyperlink" Target="https://www.bashinkom.ru/products/avz/BiopolimikSi" TargetMode="External"/><Relationship Id="rId571" Type="http://schemas.openxmlformats.org/officeDocument/2006/relationships/hyperlink" Target="https://www.bashinkom.ru/products/avz/BiopolimikFe" TargetMode="External"/><Relationship Id="rId572" Type="http://schemas.openxmlformats.org/officeDocument/2006/relationships/hyperlink" Target="https://www.bashinkom.ru/products/avz/BiopolimikMn" TargetMode="External"/><Relationship Id="rId573" Type="http://schemas.openxmlformats.org/officeDocument/2006/relationships/hyperlink" Target="https://www.bashinkom.ru/products/avz/BiopolimikKompleksnyy" TargetMode="External"/><Relationship Id="rId574" Type="http://schemas.openxmlformats.org/officeDocument/2006/relationships/hyperlink" Target="https://www.bashinkom.ru/products/prodecor/MikroelementnoeudobrenieBiopolimikkompleksnyy" TargetMode="External"/><Relationship Id="rId575" Type="http://schemas.openxmlformats.org/officeDocument/2006/relationships/hyperlink" Target="https://www.bashinkom.ru/products/avz/BIOPOLIMIKZn" TargetMode="External"/><Relationship Id="rId576" Type="http://schemas.openxmlformats.org/officeDocument/2006/relationships/hyperlink" Target="https://www.bashinkom.ru/products/avz/BiopolimikYod" TargetMode="External"/><Relationship Id="rId577" Type="http://schemas.openxmlformats.org/officeDocument/2006/relationships/hyperlink" Target="https://www.bashinkom.ru/products/ojz/BioprilipatelBiolipostim" TargetMode="External"/><Relationship Id="rId578" Type="http://schemas.openxmlformats.org/officeDocument/2006/relationships/hyperlink" Target="https://www.bashinkom.ru/products/prodecor/BioPrilipatelBiolipostim-prodecor" TargetMode="External"/><Relationship Id="rId579" Type="http://schemas.openxmlformats.org/officeDocument/2006/relationships/hyperlink" Target="https://www.bashinkom.ru/products/ojz/BiofungitsidFitosporinASpasta50g" TargetMode="External"/><Relationship Id="rId580" Type="http://schemas.openxmlformats.org/officeDocument/2006/relationships/hyperlink" Target="https://www.bashinkom.ru/products/avz/BiyakAminoKHit" TargetMode="External"/><Relationship Id="rId581" Type="http://schemas.openxmlformats.org/officeDocument/2006/relationships/hyperlink" Target="https://www.bashinkom.ru/products/prodecor/BoveriksZH-prodecor" TargetMode="External"/><Relationship Id="rId582" Type="http://schemas.openxmlformats.org/officeDocument/2006/relationships/hyperlink" Target="https://www.bashinkom.ru/products/ojz/BoveriksZH500ml200ml" TargetMode="External"/><Relationship Id="rId583" Type="http://schemas.openxmlformats.org/officeDocument/2006/relationships/hyperlink" Target="https://www.bashinkom.ru/products/avz/BogatyyNPK569KaliynyyME" TargetMode="External"/><Relationship Id="rId584" Type="http://schemas.openxmlformats.org/officeDocument/2006/relationships/hyperlink" Target="https://www.bashinkom.ru/products/avz/BogatyyNPK848KaliynyyME" TargetMode="External"/><Relationship Id="rId585" Type="http://schemas.openxmlformats.org/officeDocument/2006/relationships/hyperlink" Target="https://www.bashinkom.ru/products/ojz/BOGATYYGazonTSvety05l" TargetMode="External"/><Relationship Id="rId586" Type="http://schemas.openxmlformats.org/officeDocument/2006/relationships/hyperlink" Target="https://www.bashinkom.ru/products/ojz/BogatyyGortenziyarododendronazaliyakameliya" TargetMode="External"/><Relationship Id="rId587" Type="http://schemas.openxmlformats.org/officeDocument/2006/relationships/hyperlink" Target="https://www.bashinkom.ru/products/ojz/BOGATYYOvoshchiYAgodyZelenzhidkoekompleksnoebioaktivirovanoeudobrenie05l" TargetMode="External"/><Relationship Id="rId588" Type="http://schemas.openxmlformats.org/officeDocument/2006/relationships/hyperlink" Target="https://www.bashinkom.ru/products/ojz/BogatyyOrkhideya01l" TargetMode="External"/><Relationship Id="rId589" Type="http://schemas.openxmlformats.org/officeDocument/2006/relationships/hyperlink" Target="https://www.bashinkom.ru/products/ojz/BOGATYYDOMkompleksnoebioaktivirovannoeudobrenie02l" TargetMode="External"/><Relationship Id="rId590" Type="http://schemas.openxmlformats.org/officeDocument/2006/relationships/hyperlink" Target="https://www.bashinkom.ru/products/ojz/BOGATYYMIKROZHelezoFe2mikroelementy100ml" TargetMode="External"/><Relationship Id="rId591" Type="http://schemas.openxmlformats.org/officeDocument/2006/relationships/hyperlink" Target="https://www.bashinkom.ru/products/ojz/BOGATYYMIKROYodI05100ml" TargetMode="External"/><Relationship Id="rId592" Type="http://schemas.openxmlformats.org/officeDocument/2006/relationships/hyperlink" Target="https://www.bashinkom.ru/products/ojz/BogatyyMikroKaltsiy1" TargetMode="External"/><Relationship Id="rId593" Type="http://schemas.openxmlformats.org/officeDocument/2006/relationships/hyperlink" Target="https://www.bashinkom.ru/products/ojz/BOGATYYMIKROKompleksnyy9mikroelementov100ml" TargetMode="External"/><Relationship Id="rId594" Type="http://schemas.openxmlformats.org/officeDocument/2006/relationships/hyperlink" Target="https://www.bashinkom.ru/products/ojz/ZelyenoekhelatnoeudobrenieBogatyyMikroMagniy1" TargetMode="External"/><Relationship Id="rId595" Type="http://schemas.openxmlformats.org/officeDocument/2006/relationships/hyperlink" Target="https://www.bashinkom.ru/products/ojz/BOGATYYMIKROMedCu1mikroelementy100ml" TargetMode="External"/><Relationship Id="rId596" Type="http://schemas.openxmlformats.org/officeDocument/2006/relationships/hyperlink" Target="https://www.bashinkom.ru/products/ojz/BOGATYYMIKROTSinkZn1MedCu1mikroelementy100ml" TargetMode="External"/><Relationship Id="rId597" Type="http://schemas.openxmlformats.org/officeDocument/2006/relationships/hyperlink" Target="https://www.bashinkom.ru/products/avz/BorogumB11ME" TargetMode="External"/><Relationship Id="rId598" Type="http://schemas.openxmlformats.org/officeDocument/2006/relationships/hyperlink" Target="https://www.bashinkom.ru/products/avz/BorogumMMednoTSinkovyy" TargetMode="External"/><Relationship Id="rId599" Type="http://schemas.openxmlformats.org/officeDocument/2006/relationships/hyperlink" Target="https://www.bashinkom.ru/products/avz/BorogumMKompleksnyy" TargetMode="External"/><Relationship Id="rId600" Type="http://schemas.openxmlformats.org/officeDocument/2006/relationships/hyperlink" Target="https://www.bashinkom.ru/products/avz/BorogumMMolibdenovyy" TargetMode="External"/><Relationship Id="rId601" Type="http://schemas.openxmlformats.org/officeDocument/2006/relationships/hyperlink" Target="https://www.bashinkom.ru/products/avz/BorogumMMolibdenovoMargantsevyy" TargetMode="External"/><Relationship Id="rId602" Type="http://schemas.openxmlformats.org/officeDocument/2006/relationships/hyperlink" Target="https://www.bashinkom.ru/products/avz/BorogumM354501ME" TargetMode="External"/><Relationship Id="rId603" Type="http://schemas.openxmlformats.org/officeDocument/2006/relationships/hyperlink" Target="https://www.bashinkom.ru/products/ojz/BOROGUMMZavyazplodotsvetokorneobrazovanieotpustotsvetovBorGumiNPK11mikroelementov02l" TargetMode="External"/><Relationship Id="rId604" Type="http://schemas.openxmlformats.org/officeDocument/2006/relationships/hyperlink" Target="https://www.bashinkom.ru/products/ojz/VarSadPchelkasadovyyvar100naturalnyy100g" TargetMode="External"/><Relationship Id="rId605" Type="http://schemas.openxmlformats.org/officeDocument/2006/relationships/hyperlink" Target="https://www.bashinkom.ru/products/ojz/GumiBTBKARTOFELotkoloradskogozhukadvukhkomponentnyy6g100g" TargetMode="External"/><Relationship Id="rId606" Type="http://schemas.openxmlformats.org/officeDocument/2006/relationships/hyperlink" Target="https://www.bashinkom.ru/products/ojz/OdnoletnieiDvuletnietsvetyGumiOmi50g" TargetMode="External"/><Relationship Id="rId607" Type="http://schemas.openxmlformats.org/officeDocument/2006/relationships/hyperlink" Target="https://www.bashinkom.ru/products/avz/GUMI20NPK1151" TargetMode="External"/><Relationship Id="rId608" Type="http://schemas.openxmlformats.org/officeDocument/2006/relationships/hyperlink" Target="https://www.bashinkom.ru/products/ojz/GUMI20Universalnyy02l" TargetMode="External"/><Relationship Id="rId609" Type="http://schemas.openxmlformats.org/officeDocument/2006/relationships/hyperlink" Target="https://www.bashinkom.ru/products/ojz/GUMI20TSVETY125ml" TargetMode="External"/><Relationship Id="rId610" Type="http://schemas.openxmlformats.org/officeDocument/2006/relationships/hyperlink" Target="https://www.bashinkom.ru/products/avz/GUMI20MNPK1151ME" TargetMode="External"/><Relationship Id="rId611" Type="http://schemas.openxmlformats.org/officeDocument/2006/relationships/hyperlink" Target="https://www.bashinkom.ru/products/ojz/GUMI30Superuniversalbystrorastvorimyy100g" TargetMode="External"/><Relationship Id="rId612" Type="http://schemas.openxmlformats.org/officeDocument/2006/relationships/hyperlink" Target="https://www.bashinkom.ru/products/ojz/Gumi30Universal300g" TargetMode="External"/><Relationship Id="rId613" Type="http://schemas.openxmlformats.org/officeDocument/2006/relationships/hyperlink" Target="https://www.bashinkom.ru/products/ojz/Gumi90dlyaovoshcheyyagodplodovtsvetovidekorativnykhrasteniy6g" TargetMode="External"/><Relationship Id="rId614" Type="http://schemas.openxmlformats.org/officeDocument/2006/relationships/hyperlink" Target="https://www.bashinkom.ru/products/avz/GUMI90" TargetMode="External"/><Relationship Id="rId615" Type="http://schemas.openxmlformats.org/officeDocument/2006/relationships/hyperlink" Target="https://www.bashinkom.ru/products/avz/GUMI90M" TargetMode="External"/><Relationship Id="rId616" Type="http://schemas.openxmlformats.org/officeDocument/2006/relationships/hyperlink" Target="https://www.bashinkom.ru/products/ojz/GUMIKaliynyy05l" TargetMode="External"/><Relationship Id="rId617" Type="http://schemas.openxmlformats.org/officeDocument/2006/relationships/hyperlink" Target="https://www.bashinkom.ru/products/ojz/AZOTMOCHEVINAGUMIOMI05kg" TargetMode="External"/><Relationship Id="rId618" Type="http://schemas.openxmlformats.org/officeDocument/2006/relationships/hyperlink" Target="https://www.bashinkom.ru/products/ojz/ButonTSvetyGumiOMI50g" TargetMode="External"/><Relationship Id="rId619" Type="http://schemas.openxmlformats.org/officeDocument/2006/relationships/hyperlink" Target="https://www.bashinkom.ru/products/ojz/VesenniyGumiOMI1kg" TargetMode="External"/><Relationship Id="rId620" Type="http://schemas.openxmlformats.org/officeDocument/2006/relationships/hyperlink" Target="https://www.bashinkom.ru/products/ojz/DEKORATIVNYEKUSTARNIKIGumiOmi1kg" TargetMode="External"/><Relationship Id="rId621" Type="http://schemas.openxmlformats.org/officeDocument/2006/relationships/hyperlink" Target="https://www.bashinkom.ru/products/ojz/KAKTUSALOEGumiOMI50g" TargetMode="External"/><Relationship Id="rId622" Type="http://schemas.openxmlformats.org/officeDocument/2006/relationships/hyperlink" Target="https://www.bashinkom.ru/products/ojz/KALIYSULFATKALIYAGUMIOMI05kg" TargetMode="External"/><Relationship Id="rId623" Type="http://schemas.openxmlformats.org/officeDocument/2006/relationships/hyperlink" Target="https://www.bashinkom.ru/products/ojz/GumiOMIKartofel10kg" TargetMode="External"/><Relationship Id="rId624" Type="http://schemas.openxmlformats.org/officeDocument/2006/relationships/hyperlink" Target="https://www.bashinkom.ru/products/ojz/GumiOMIKartofelMorkovRedisSveklaRepaRedka07kg" TargetMode="External"/><Relationship Id="rId625" Type="http://schemas.openxmlformats.org/officeDocument/2006/relationships/hyperlink" Target="https://www.bashinkom.ru/products/ojz/LIANYGumiOMI50g" TargetMode="External"/><Relationship Id="rId626" Type="http://schemas.openxmlformats.org/officeDocument/2006/relationships/hyperlink" Target="https://www.bashinkom.ru/products/ojz/LIMONMANDARINGumiOMI50g" TargetMode="External"/><Relationship Id="rId627" Type="http://schemas.openxmlformats.org/officeDocument/2006/relationships/hyperlink" Target="https://www.bashinkom.ru/products/ojz/ProbiogranulyLukiCHesnok08kg" TargetMode="External"/><Relationship Id="rId628" Type="http://schemas.openxmlformats.org/officeDocument/2006/relationships/hyperlink" Target="https://www.bashinkom.ru/products/ojz/GumiOMILukCHesnok07kg" TargetMode="External"/><Relationship Id="rId629" Type="http://schemas.openxmlformats.org/officeDocument/2006/relationships/hyperlink" Target="https://www.bashinkom.ru/products/ojz/LukovichnyeiKlubnelukovichnyetsvetyGumiOMI50g" TargetMode="External"/><Relationship Id="rId630" Type="http://schemas.openxmlformats.org/officeDocument/2006/relationships/hyperlink" Target="https://www.bashinkom.ru/products/ojz/GumiOMIOguretsKabachokBakhchevye07kg" TargetMode="External"/><Relationship Id="rId631" Type="http://schemas.openxmlformats.org/officeDocument/2006/relationships/hyperlink" Target="https://www.bashinkom.ru/products/ojz/GumiOmiOsenniy1kg" TargetMode="External"/><Relationship Id="rId632" Type="http://schemas.openxmlformats.org/officeDocument/2006/relationships/hyperlink" Target="https://www.bashinkom.ru/products/ojz/GumiOmiPlodovyederevyaikustarniki1kg" TargetMode="External"/><Relationship Id="rId633" Type="http://schemas.openxmlformats.org/officeDocument/2006/relationships/hyperlink" Target="https://www.bashinkom.ru/products/ojz/GumiOmiRassada" TargetMode="External"/><Relationship Id="rId634" Type="http://schemas.openxmlformats.org/officeDocument/2006/relationships/hyperlink" Target="https://www.bashinkom.ru/products/ojz/ROZYGumiOmi05kg" TargetMode="External"/><Relationship Id="rId635" Type="http://schemas.openxmlformats.org/officeDocument/2006/relationships/hyperlink" Target="https://www.bashinkom.ru/products/ojz/GumiOMITomatBaklazhanPerets07kg" TargetMode="External"/><Relationship Id="rId636" Type="http://schemas.openxmlformats.org/officeDocument/2006/relationships/hyperlink" Target="https://www.bashinkom.ru/products/ojz/GumiOMIUNIVERSALOvoshchiYAgodyTSvety07kg" TargetMode="External"/><Relationship Id="rId637" Type="http://schemas.openxmlformats.org/officeDocument/2006/relationships/hyperlink" Target="https://www.bashinkom.ru/products/ojz/GumiOmiUniversalnyyGranulirovannyy" TargetMode="External"/><Relationship Id="rId638" Type="http://schemas.openxmlformats.org/officeDocument/2006/relationships/hyperlink" Target="https://www.bashinkom.ru/products/ojz/FIALKAGERANGumiOMI50g" TargetMode="External"/><Relationship Id="rId639" Type="http://schemas.openxmlformats.org/officeDocument/2006/relationships/hyperlink" Target="https://www.bashinkom.ru/products/ojz/FIKUSPALMAGumiOMI50g" TargetMode="External"/><Relationship Id="rId640" Type="http://schemas.openxmlformats.org/officeDocument/2006/relationships/hyperlink" Target="https://www.bashinkom.ru/products/ojz/FOSFORSUPERFOSFATGUMIOMI05kg" TargetMode="External"/><Relationship Id="rId641" Type="http://schemas.openxmlformats.org/officeDocument/2006/relationships/hyperlink" Target="https://www.bashinkom.ru/products/ojz/KHvoynyeGumiOMI05kg" TargetMode="External"/><Relationship Id="rId642" Type="http://schemas.openxmlformats.org/officeDocument/2006/relationships/hyperlink" Target="https://www.bashinkom.ru/products/ojz/TSvetysadovyeUNIVERSALGumiOMI50g" TargetMode="External"/><Relationship Id="rId643" Type="http://schemas.openxmlformats.org/officeDocument/2006/relationships/hyperlink" Target="https://www.bashinkom.ru/products/ojz/GumiOmiYAGODNYYZemlyanikaKlubnikaMalinaSmorodina07kg" TargetMode="External"/><Relationship Id="rId644" Type="http://schemas.openxmlformats.org/officeDocument/2006/relationships/hyperlink" Target="https://www.bashinkom.ru/products/ojz/GAZONGumiOMIBOGATEYSHEEudobrenie1kg" TargetMode="External"/><Relationship Id="rId645" Type="http://schemas.openxmlformats.org/officeDocument/2006/relationships/hyperlink" Target="https://www.bashinkom.ru/products/ojz/MnogoletnietsvetyGumiOmi50g" TargetMode="External"/><Relationship Id="rId646" Type="http://schemas.openxmlformats.org/officeDocument/2006/relationships/hyperlink" Target="https://www.bashinkom.ru/products/ojz/DARPLODORODIYAkontsentratbioaktivirovannogogumusnogoudobreniya05kg" TargetMode="External"/><Relationship Id="rId647" Type="http://schemas.openxmlformats.org/officeDocument/2006/relationships/hyperlink" Target="https://www.bashinkom.ru/products/ojz/DoktorSadLechebnayapobelkasadovaya1kg" TargetMode="External"/><Relationship Id="rId648" Type="http://schemas.openxmlformats.org/officeDocument/2006/relationships/hyperlink" Target="https://www.bashinkom.ru/products/ojz/DRENAZHKERAMZITOVYYkrupnyy2l" TargetMode="External"/><Relationship Id="rId649" Type="http://schemas.openxmlformats.org/officeDocument/2006/relationships/hyperlink" Target="https://www.bashinkom.ru/products/ojz/DrenazhKeramzitovyysredniy1l" TargetMode="External"/><Relationship Id="rId650" Type="http://schemas.openxmlformats.org/officeDocument/2006/relationships/hyperlink" Target="https://www.bashinkom.ru/products/avz/ZHidkayamikorizaBashinkom" TargetMode="External"/><Relationship Id="rId651" Type="http://schemas.openxmlformats.org/officeDocument/2006/relationships/hyperlink" Target="https://www.bashinkom.ru/products/ojz/ZemlyaMatushkadlyaBobovykh3l" TargetMode="External"/><Relationship Id="rId652" Type="http://schemas.openxmlformats.org/officeDocument/2006/relationships/hyperlink" Target="https://www.bashinkom.ru/products/ojz/SuperElita" TargetMode="External"/><Relationship Id="rId653" Type="http://schemas.openxmlformats.org/officeDocument/2006/relationships/hyperlink" Target="https://www.bashinkom.ru/products/ojz/ZemlyaMatushkaUniversalnayadlyarassadyzeleniitsvetov3l" TargetMode="External"/><Relationship Id="rId654" Type="http://schemas.openxmlformats.org/officeDocument/2006/relationships/hyperlink" Target="https://www.bashinkom.ru/products/ojz/ZemlyaMatushkaTSvetochnayaUniversalnaya3l" TargetMode="External"/><Relationship Id="rId655" Type="http://schemas.openxmlformats.org/officeDocument/2006/relationships/hyperlink" Target="https://www.bashinkom.ru/products/ojz/KaktusAloeZemlyaMatushkadlyakaktusovaloekalankhoeagavy3l" TargetMode="External"/><Relationship Id="rId656" Type="http://schemas.openxmlformats.org/officeDocument/2006/relationships/hyperlink" Target="https://www.bashinkom.ru/products/prodecor/KompleksnoeudobrenieszelenymkhelatoromBIYAKBionekskemiUniversalnyy" TargetMode="External"/><Relationship Id="rId657" Type="http://schemas.openxmlformats.org/officeDocument/2006/relationships/hyperlink" Target="https://www.bashinkom.ru/products/ojz/KompleksnoeuniversalnoeudobreniedlyavsekhsadovoogorodnykhkulturBioneksKemi18181811200g" TargetMode="External"/><Relationship Id="rId658" Type="http://schemas.openxmlformats.org/officeDocument/2006/relationships/hyperlink" Target="https://www.bashinkom.ru/products/ojz/KompleksnoeuniversalnoeudobreniedlyakomnatnykhrasteniyBioneksKemivodorastvorimyy50g" TargetMode="External"/><Relationship Id="rId659" Type="http://schemas.openxmlformats.org/officeDocument/2006/relationships/hyperlink" Target="https://www.bashinkom.ru/products/ojz/Kompostinuskoritelsozrevaniyakomposta05l" TargetMode="External"/><Relationship Id="rId660" Type="http://schemas.openxmlformats.org/officeDocument/2006/relationships/hyperlink" Target="https://www.bashinkom.ru/products/ojz/Kompostinuskoritelsozrevaniyakompostaporoshok" TargetMode="External"/><Relationship Id="rId661" Type="http://schemas.openxmlformats.org/officeDocument/2006/relationships/hyperlink" Target="https://www.bashinkom.ru/products/ojz/KormilitsaMikorizagranulirovannyy08kg" TargetMode="External"/><Relationship Id="rId662" Type="http://schemas.openxmlformats.org/officeDocument/2006/relationships/hyperlink" Target="https://www.bashinkom.ru/products/ojz/KormilitsaMikoriza" TargetMode="External"/><Relationship Id="rId663" Type="http://schemas.openxmlformats.org/officeDocument/2006/relationships/hyperlink" Target="https://www.bashinkom.ru/products/ojz/KormilitsaMikorizaBashkirskaya-10l" TargetMode="External"/><Relationship Id="rId664" Type="http://schemas.openxmlformats.org/officeDocument/2006/relationships/hyperlink" Target="https://www.bashinkom.ru/products/avz/KormilitsaMikorizaBashkirskaya10l" TargetMode="External"/><Relationship Id="rId665" Type="http://schemas.openxmlformats.org/officeDocument/2006/relationships/hyperlink" Target="https://www.bashinkom.ru/products/prodecor/KormilitsaMikorizadlyagazona10kg" TargetMode="External"/><Relationship Id="rId666" Type="http://schemas.openxmlformats.org/officeDocument/2006/relationships/hyperlink" Target="https://www.bashinkom.ru/products/prodecor/KormilitsaMikorizadlyagazona3kg" TargetMode="External"/><Relationship Id="rId667" Type="http://schemas.openxmlformats.org/officeDocument/2006/relationships/hyperlink" Target="https://www.bashinkom.ru/products/prodecor/KormilitsaMikorizadlyaDekorativnykhderevevikustarnikov10kg" TargetMode="External"/><Relationship Id="rId668" Type="http://schemas.openxmlformats.org/officeDocument/2006/relationships/hyperlink" Target="https://www.bashinkom.ru/products/prodecor/KormilitsaMikorizadlyaKHvoynykh10kg" TargetMode="External"/><Relationship Id="rId669" Type="http://schemas.openxmlformats.org/officeDocument/2006/relationships/hyperlink" Target="https://www.bashinkom.ru/products/prodecor/KormilitsaMikorizadlyaTSvetov10kg" TargetMode="External"/><Relationship Id="rId670" Type="http://schemas.openxmlformats.org/officeDocument/2006/relationships/hyperlink" Target="https://www.bashinkom.ru/products/ojz/Kormilitsamikorizazhidkaya" TargetMode="External"/><Relationship Id="rId671" Type="http://schemas.openxmlformats.org/officeDocument/2006/relationships/hyperlink" Target="https://www.bashinkom.ru/products/prodecor/KormilitsaMikorizaUNIVERSALNAYA10kg" TargetMode="External"/><Relationship Id="rId672" Type="http://schemas.openxmlformats.org/officeDocument/2006/relationships/hyperlink" Target="https://www.bashinkom.ru/products/ojz/KorneSilEkstra10g" TargetMode="External"/><Relationship Id="rId673" Type="http://schemas.openxmlformats.org/officeDocument/2006/relationships/hyperlink" Target="https://www.bashinkom.ru/products/prodecor/KorneSilEkstra" TargetMode="External"/><Relationship Id="rId674" Type="http://schemas.openxmlformats.org/officeDocument/2006/relationships/hyperlink" Target="https://www.bashinkom.ru/products/ojz/KORNESILGumi20ME03l" TargetMode="External"/><Relationship Id="rId675" Type="http://schemas.openxmlformats.org/officeDocument/2006/relationships/hyperlink" Target="https://www.bashinkom.ru/products/avz/KrasAdyuv" TargetMode="External"/><Relationship Id="rId676" Type="http://schemas.openxmlformats.org/officeDocument/2006/relationships/hyperlink" Target="https://www.bashinkom.ru/products/ojz/KurinyypometnastoyashchiyBioneks1oo2kg" TargetMode="External"/><Relationship Id="rId677" Type="http://schemas.openxmlformats.org/officeDocument/2006/relationships/hyperlink" Target="https://www.bashinkom.ru/products/ojz/LianyZemlyaMatushkadlyaalokaziiaraliimonsterydiffebakhiisingoniuma3l" TargetMode="External"/><Relationship Id="rId678" Type="http://schemas.openxmlformats.org/officeDocument/2006/relationships/hyperlink" Target="https://www.bashinkom.ru/products/ojz/LimonMandarinZemlyaMatushkadlyalimonamandarinazhasminainzhirakofe3l" TargetMode="External"/><Relationship Id="rId679" Type="http://schemas.openxmlformats.org/officeDocument/2006/relationships/hyperlink" Target="https://www.bashinkom.ru/products/ojz/MargantsovkaBashInkompermanganatkaliya10g" TargetMode="External"/><Relationship Id="rId680" Type="http://schemas.openxmlformats.org/officeDocument/2006/relationships/hyperlink" Target="https://www.bashinkom.ru/products/ojz/MikrobiologicheskiypreparatTravoZakvas5l" TargetMode="External"/><Relationship Id="rId681" Type="http://schemas.openxmlformats.org/officeDocument/2006/relationships/hyperlink" Target="https://www.bashinkom.ru/products/ojz/MokhTaezhnyy" TargetMode="External"/><Relationship Id="rId682" Type="http://schemas.openxmlformats.org/officeDocument/2006/relationships/hyperlink" Target="https://www.bashinkom.ru/products/ojz/MULCHARAZRYKHLITELZemlyaMatushkachernozemnaya10l" TargetMode="External"/><Relationship Id="rId683" Type="http://schemas.openxmlformats.org/officeDocument/2006/relationships/hyperlink" Target="https://www.bashinkom.ru/products/ojz/MylodegtyarnoeprobioticheskoeKYSHVREDITELUNIVERSALNOE05l" TargetMode="External"/><Relationship Id="rId684" Type="http://schemas.openxmlformats.org/officeDocument/2006/relationships/hyperlink" Target="https://www.bashinkom.ru/products/ojz/MylozelenoerastitelnoekaliynoeNaDachu" TargetMode="External"/><Relationship Id="rId685" Type="http://schemas.openxmlformats.org/officeDocument/2006/relationships/hyperlink" Target="https://www.bashinkom.ru/products/ojz/OLIMPIYSKIYGUMIKKaliynyyNANOGEL300g" TargetMode="External"/><Relationship Id="rId686" Type="http://schemas.openxmlformats.org/officeDocument/2006/relationships/hyperlink" Target="https://www.bashinkom.ru/products/ojz/Pesokposevnoyprorezhivayushchiy" TargetMode="External"/><Relationship Id="rId687" Type="http://schemas.openxmlformats.org/officeDocument/2006/relationships/hyperlink" Target="https://www.bashinkom.ru/products/ojz/PochvogruntZemlyaMatushkaUniversalnayadlyarassadyzeleniitsvetov" TargetMode="External"/><Relationship Id="rId688" Type="http://schemas.openxmlformats.org/officeDocument/2006/relationships/hyperlink" Target="https://www.bashinkom.ru/products/ojz/ProbiogranulyGortenziya" TargetMode="External"/><Relationship Id="rId689" Type="http://schemas.openxmlformats.org/officeDocument/2006/relationships/hyperlink" Target="https://www.bashinkom.ru/products/ojz/GumiOmiYAgodnoe08kggranulirovannyy" TargetMode="External"/><Relationship Id="rId690" Type="http://schemas.openxmlformats.org/officeDocument/2006/relationships/hyperlink" Target="https://www.bashinkom.ru/products/ojz/GumiOmiDekorativnyekustarnikiiderevya08kg" TargetMode="External"/><Relationship Id="rId691" Type="http://schemas.openxmlformats.org/officeDocument/2006/relationships/hyperlink" Target="https://www.bashinkom.ru/products/ojz/ProbiogranulyKislotolyubivyekustarniki08kg" TargetMode="External"/><Relationship Id="rId692" Type="http://schemas.openxmlformats.org/officeDocument/2006/relationships/hyperlink" Target="https://www.bashinkom.ru/products/ojz/UdobreniegranulirovannoeprolongirovannoeKomnatnyetsvety02kg" TargetMode="External"/><Relationship Id="rId693" Type="http://schemas.openxmlformats.org/officeDocument/2006/relationships/hyperlink" Target="https://www.bashinkom.ru/products/ojz/Probiogranulydlyasadovykhtsvetov08kg" TargetMode="External"/><Relationship Id="rId694" Type="http://schemas.openxmlformats.org/officeDocument/2006/relationships/hyperlink" Target="https://www.bashinkom.ru/products/ojz/ProbiogranulyKHvoynye" TargetMode="External"/><Relationship Id="rId695" Type="http://schemas.openxmlformats.org/officeDocument/2006/relationships/hyperlink" Target="https://www.bashinkom.ru/products/ojz/UdobreniegranulirovannoeprolongirovannoeVesennie08kg" TargetMode="External"/><Relationship Id="rId696" Type="http://schemas.openxmlformats.org/officeDocument/2006/relationships/hyperlink" Target="https://www.bashinkom.ru/products/ojz/GumiOmiOsenniygranulirovannyy" TargetMode="External"/><Relationship Id="rId697" Type="http://schemas.openxmlformats.org/officeDocument/2006/relationships/hyperlink" Target="https://www.bashinkom.ru/products/prodecor/PROBIOGRANULYPGPRVesennieNPK725MEPGPRbakterii" TargetMode="External"/><Relationship Id="rId698" Type="http://schemas.openxmlformats.org/officeDocument/2006/relationships/hyperlink" Target="https://www.bashinkom.ru/products/prodecor/PROBIOGRANULYPGPRDekorativnyekustarnikiNPK575MEPGPRbakterii" TargetMode="External"/><Relationship Id="rId699" Type="http://schemas.openxmlformats.org/officeDocument/2006/relationships/hyperlink" Target="https://www.bashinkom.ru/products/prodecor/PROBIOGRANULYPGPROsennieNPK158MEPGPRbakterii" TargetMode="External"/><Relationship Id="rId700" Type="http://schemas.openxmlformats.org/officeDocument/2006/relationships/hyperlink" Target="https://www.bashinkom.ru/products/prodecor/PROBIOGRANULYPGPRKHvoynyeNPK547MEPGPRbakterii" TargetMode="External"/><Relationship Id="rId701" Type="http://schemas.openxmlformats.org/officeDocument/2006/relationships/hyperlink" Target="https://www.bashinkom.ru/products/prodecor/PROBIOGRANULYPGPRTSvetyNPK376MEPGPRbakterii" TargetMode="External"/><Relationship Id="rId702" Type="http://schemas.openxmlformats.org/officeDocument/2006/relationships/hyperlink" Target="https://www.bashinkom.ru/products/ojz/RazrykhlitelozdoravlivayushchiyPukhoVitA5l" TargetMode="External"/><Relationship Id="rId703" Type="http://schemas.openxmlformats.org/officeDocument/2006/relationships/hyperlink" Target="https://www.bashinkom.ru/products/ojz/RaskislitelIZVESTGUMIsborom10kg" TargetMode="External"/><Relationship Id="rId704" Type="http://schemas.openxmlformats.org/officeDocument/2006/relationships/hyperlink" Target="https://www.bashinkom.ru/products/ojz/RaskislitelIZVESTGUMIsboromorganomineralnoeudobrenie2kg" TargetMode="External"/><Relationship Id="rId705" Type="http://schemas.openxmlformats.org/officeDocument/2006/relationships/hyperlink" Target="https://www.bashinkom.ru/products/avz/RegulyatorkislotnostiRaduzhnyy" TargetMode="External"/><Relationship Id="rId706" Type="http://schemas.openxmlformats.org/officeDocument/2006/relationships/hyperlink" Target="https://www.bashinkom.ru/products/avz/RizoBashGorokhCHechevitsa" TargetMode="External"/><Relationship Id="rId707" Type="http://schemas.openxmlformats.org/officeDocument/2006/relationships/hyperlink" Target="https://www.bashinkom.ru/products/avz/RizoBashNut" TargetMode="External"/><Relationship Id="rId708" Type="http://schemas.openxmlformats.org/officeDocument/2006/relationships/hyperlink" Target="https://www.bashinkom.ru/products/avz/RizoBashSoya" TargetMode="External"/><Relationship Id="rId709" Type="http://schemas.openxmlformats.org/officeDocument/2006/relationships/hyperlink" Target="https://www.bashinkom.ru/products/ojz/SotkAchernozemagumusaplodorodiya1l" TargetMode="External"/><Relationship Id="rId710" Type="http://schemas.openxmlformats.org/officeDocument/2006/relationships/hyperlink" Target="https://www.bashinkom.ru/products/avz/Sternya12" TargetMode="External"/><Relationship Id="rId711" Type="http://schemas.openxmlformats.org/officeDocument/2006/relationships/hyperlink" Target="https://www.bashinkom.ru/products/prodecor/BiopreparatStreptobash" TargetMode="External"/><Relationship Id="rId712" Type="http://schemas.openxmlformats.org/officeDocument/2006/relationships/hyperlink" Target="https://www.bashinkom.ru/products/avz/Struchkley" TargetMode="External"/><Relationship Id="rId713" Type="http://schemas.openxmlformats.org/officeDocument/2006/relationships/hyperlink" Target="https://www.bashinkom.ru/products/ojz/MIKORIZIROVANNYYSUBSTRATDLYAVYRASHCHIVANIYARASTENIYSTRANAARKADIYADLYABROMELIEVYKH" TargetMode="External"/><Relationship Id="rId714" Type="http://schemas.openxmlformats.org/officeDocument/2006/relationships/hyperlink" Target="https://www.bashinkom.ru/products/ojz/MikrorizirovannyysubstratdlyavyrashchivaniyarasteniyStranaArkadidlyaorkhidey" TargetMode="External"/><Relationship Id="rId715" Type="http://schemas.openxmlformats.org/officeDocument/2006/relationships/hyperlink" Target="https://www.bashinkom.ru/products/ojz/MikorizirovannyysubstratdlyavyrashchivaniyarasteniyStranaArkadiyadlyapaporotnikov" TargetMode="External"/><Relationship Id="rId716" Type="http://schemas.openxmlformats.org/officeDocument/2006/relationships/hyperlink" Target="https://www.bashinkom.ru/products/ojz/MikorizirovannyysubstratdlyavyrashchivaniyarasteniyStranaArkadiya" TargetMode="External"/><Relationship Id="rId717" Type="http://schemas.openxmlformats.org/officeDocument/2006/relationships/hyperlink" Target="https://www.bashinkom.ru/products/ojz/MikorizirovannyysubstratdlyavyrashchivaniyarasteniyStranaArkadiyadlyasenpoliy" TargetMode="External"/><Relationship Id="rId718" Type="http://schemas.openxmlformats.org/officeDocument/2006/relationships/hyperlink" Target="https://www.bashinkom.ru/products/ojz/SuperKyshMuravey03kg" TargetMode="External"/><Relationship Id="rId719" Type="http://schemas.openxmlformats.org/officeDocument/2006/relationships/hyperlink" Target="https://www.bashinkom.ru/products/ojz/TeplorodPlodorod1kg" TargetMode="External"/><Relationship Id="rId720" Type="http://schemas.openxmlformats.org/officeDocument/2006/relationships/hyperlink" Target="https://www.bashinkom.ru/products/ojz/TioBash05l" TargetMode="External"/><Relationship Id="rId721" Type="http://schemas.openxmlformats.org/officeDocument/2006/relationships/hyperlink" Target="https://www.bashinkom.ru/products/avz/TioBash" TargetMode="External"/><Relationship Id="rId722" Type="http://schemas.openxmlformats.org/officeDocument/2006/relationships/hyperlink" Target="https://www.bashinkom.ru/products/ojz/TorfBashkirskiy5l" TargetMode="External"/><Relationship Id="rId723" Type="http://schemas.openxmlformats.org/officeDocument/2006/relationships/hyperlink" Target="https://www.bashinkom.ru/products/ojz/TorfyanyetabletkiAS35Bogatyybiostart50g" TargetMode="External"/><Relationship Id="rId724" Type="http://schemas.openxmlformats.org/officeDocument/2006/relationships/hyperlink" Target="https://www.bashinkom.ru/products/ojz/TorfyanyetabletkiAS35Bogatyysezon" TargetMode="External"/><Relationship Id="rId725" Type="http://schemas.openxmlformats.org/officeDocument/2006/relationships/hyperlink" Target="https://www.bashinkom.ru/products/ojz/Trikhodermiks-mini" TargetMode="External"/><Relationship Id="rId726" Type="http://schemas.openxmlformats.org/officeDocument/2006/relationships/hyperlink" Target="https://www.bashinkom.ru/products/avz/Trikhodermiks" TargetMode="External"/><Relationship Id="rId727" Type="http://schemas.openxmlformats.org/officeDocument/2006/relationships/hyperlink" Target="https://www.bashinkom.ru/products/prodecor/Trikhodermiks-prodecor" TargetMode="External"/><Relationship Id="rId728" Type="http://schemas.openxmlformats.org/officeDocument/2006/relationships/hyperlink" Target="https://www.bashinkom.ru/products/ojz/TurinBashZH200ml500ml" TargetMode="External"/><Relationship Id="rId729" Type="http://schemas.openxmlformats.org/officeDocument/2006/relationships/hyperlink" Target="https://www.bashinkom.ru/products/avz/TurinBashG" TargetMode="External"/><Relationship Id="rId730" Type="http://schemas.openxmlformats.org/officeDocument/2006/relationships/hyperlink" Target="https://www.bashinkom.ru/products/ojz/FialkaGeranZemlyaMatushkadlyafialkigeranigloksiniifuksiigiatsinta3l" TargetMode="External"/><Relationship Id="rId731" Type="http://schemas.openxmlformats.org/officeDocument/2006/relationships/hyperlink" Target="https://www.bashinkom.ru/products/ojz/FikusPalmaZemlyaMatushkadlyafikusovdratsenyaraliikhavei3l" TargetMode="External"/><Relationship Id="rId732" Type="http://schemas.openxmlformats.org/officeDocument/2006/relationships/hyperlink" Target="https://www.bashinkom.ru/products/ojz/FistoporinMTomatybystrorastvorimyy100g" TargetMode="External"/><Relationship Id="rId733" Type="http://schemas.openxmlformats.org/officeDocument/2006/relationships/hyperlink" Target="https://www.bashinkom.ru/products/ojz/FitoKislinka02l" TargetMode="External"/><Relationship Id="rId734" Type="http://schemas.openxmlformats.org/officeDocument/2006/relationships/hyperlink" Target="https://www.bashinkom.ru/products/ojz/FitoseyulyuspersimilisPhytoseiulusrersimilis-" TargetMode="External"/><Relationship Id="rId735" Type="http://schemas.openxmlformats.org/officeDocument/2006/relationships/hyperlink" Target="https://www.bashinkom.ru/products/avz/FitoseyulyuspersimilisPhytoseiulusrersimilis" TargetMode="External"/><Relationship Id="rId736" Type="http://schemas.openxmlformats.org/officeDocument/2006/relationships/hyperlink" Target="https://www.bashinkom.ru/products/ojz/FitosporinProBio05l" TargetMode="External"/><Relationship Id="rId737" Type="http://schemas.openxmlformats.org/officeDocument/2006/relationships/hyperlink" Target="https://www.bashinkom.ru/products/ojz/FitosporinProBio01l" TargetMode="External"/><Relationship Id="rId738" Type="http://schemas.openxmlformats.org/officeDocument/2006/relationships/hyperlink" Target="https://www.bashinkom.ru/products/avz/FitosporinMZH" TargetMode="External"/><Relationship Id="rId739" Type="http://schemas.openxmlformats.org/officeDocument/2006/relationships/hyperlink" Target="https://www.bashinkom.ru/products/ojz/FitosporinMOGURTSY10g" TargetMode="External"/><Relationship Id="rId740" Type="http://schemas.openxmlformats.org/officeDocument/2006/relationships/hyperlink" Target="https://www.bashinkom.ru/products/ojz/FitosporinAS05l" TargetMode="External"/><Relationship Id="rId741" Type="http://schemas.openxmlformats.org/officeDocument/2006/relationships/hyperlink" Target="https://www.bashinkom.ru/products/avz/FitosporinMZHASaminokisloty" TargetMode="External"/><Relationship Id="rId742" Type="http://schemas.openxmlformats.org/officeDocument/2006/relationships/hyperlink" Target="https://www.bashinkom.ru/products/prodecor/FitosporinMAS" TargetMode="External"/><Relationship Id="rId743" Type="http://schemas.openxmlformats.org/officeDocument/2006/relationships/hyperlink" Target="https://www.bashinkom.ru/products/ojz/FitosporinMZOLOTAYAOSEN02l" TargetMode="External"/><Relationship Id="rId744" Type="http://schemas.openxmlformats.org/officeDocument/2006/relationships/hyperlink" Target="https://www.bashinkom.ru/products/ojz/FitosporinMKAPUSTA10g" TargetMode="External"/><Relationship Id="rId745" Type="http://schemas.openxmlformats.org/officeDocument/2006/relationships/hyperlink" Target="https://www.bashinkom.ru/products/ojz/FitosporinMKARTOFEL30g" TargetMode="External"/><Relationship Id="rId746" Type="http://schemas.openxmlformats.org/officeDocument/2006/relationships/hyperlink" Target="https://www.bashinkom.ru/products/ojz/FitosporinMKARTOFELBYSTRORASTVORIMYY100g" TargetMode="External"/><Relationship Id="rId747" Type="http://schemas.openxmlformats.org/officeDocument/2006/relationships/hyperlink" Target="https://www.bashinkom.ru/products/ojz/FitosporinMRASSADAOVOSHCHIYAGODYPLODOVYE110ml" TargetMode="External"/><Relationship Id="rId748" Type="http://schemas.openxmlformats.org/officeDocument/2006/relationships/hyperlink" Target="https://www.bashinkom.ru/products/ojz/FitosporinMReanimatoR02l" TargetMode="External"/><Relationship Id="rId749" Type="http://schemas.openxmlformats.org/officeDocument/2006/relationships/hyperlink" Target="https://www.bashinkom.ru/products/ojz/FitosporinMSADOVYETSVETY30g" TargetMode="External"/><Relationship Id="rId750" Type="http://schemas.openxmlformats.org/officeDocument/2006/relationships/hyperlink" Target="https://www.bashinkom.ru/products/ojz/FitosporinMSUPERUNIVERSALBYSTRORASTVORIMYY100g" TargetMode="External"/><Relationship Id="rId751" Type="http://schemas.openxmlformats.org/officeDocument/2006/relationships/hyperlink" Target="https://www.bashinkom.ru/products/ojz/FitosporinMTomat10g" TargetMode="External"/><Relationship Id="rId752" Type="http://schemas.openxmlformats.org/officeDocument/2006/relationships/hyperlink" Target="https://www.bashinkom.ru/products/ojz/FitosporinMUNIVERSALNYY10g" TargetMode="External"/><Relationship Id="rId753" Type="http://schemas.openxmlformats.org/officeDocument/2006/relationships/hyperlink" Target="https://www.bashinkom.ru/products/ojz/FitosporinMUNIVERSALNYY200g" TargetMode="External"/><Relationship Id="rId754" Type="http://schemas.openxmlformats.org/officeDocument/2006/relationships/hyperlink" Target="https://www.bashinkom.ru/products/ojz/FitosporinMTSVETY110ml" TargetMode="External"/><Relationship Id="rId755" Type="http://schemas.openxmlformats.org/officeDocument/2006/relationships/hyperlink" Target="https://www.bashinkom.ru/products/ojz/OlimpiyskiyFitosporinKnanogel90elementovimineralov200g" TargetMode="External"/><Relationship Id="rId756" Type="http://schemas.openxmlformats.org/officeDocument/2006/relationships/hyperlink" Target="https://www.bashinkom.ru/products/avz/FitosporinMZHFungiBakteritsid" TargetMode="External"/><Relationship Id="rId757" Type="http://schemas.openxmlformats.org/officeDocument/2006/relationships/hyperlink" Target="https://www.bashinkom.ru/products/avz/FitosporinMZHKHranenie" TargetMode="External"/><Relationship Id="rId758" Type="http://schemas.openxmlformats.org/officeDocument/2006/relationships/hyperlink" Target="https://www.bashinkom.ru/products/avz/FitosporinMZHEKSTRA" TargetMode="External"/><Relationship Id="rId759" Type="http://schemas.openxmlformats.org/officeDocument/2006/relationships/hyperlink" Target="https://www.bashinkom.ru/products/avz/FitosporinMP" TargetMode="External"/><Relationship Id="rId760" Type="http://schemas.openxmlformats.org/officeDocument/2006/relationships/hyperlink" Target="https://www.bashinkom.ru/products/ojz/UdobreniegranulirovannoeDlyagazonaKHozyainPlodorodiyasKormilitseyMikorizoy30kg" TargetMode="External"/><Relationship Id="rId761" Type="http://schemas.openxmlformats.org/officeDocument/2006/relationships/hyperlink" Target="https://www.bashinkom.ru/products/avz/KHozyainPlodorodiyasKormilitseyMikorizoy" TargetMode="External"/><Relationship Id="rId762" Type="http://schemas.openxmlformats.org/officeDocument/2006/relationships/hyperlink" Target="https://www.bashinkom.ru/products/ojz/KHozyainBatyushkagumusnyyorganicheskiyobogatiteliuluchshitelpochvy1kg" TargetMode="External"/><Relationship Id="rId763" Type="http://schemas.openxmlformats.org/officeDocument/2006/relationships/hyperlink" Target="https://www.bashinkom.ru/products/ojz/Zashchitaotvrediteley" TargetMode="External"/><Relationship Id="rId764" Type="http://schemas.openxmlformats.org/officeDocument/2006/relationships/hyperlink" Target="https://www.bashinkom.ru/products/ojz/OvoshchivzakrytomgruntePribylnoevozdelyvanievzakrytomgruntebezyadokhimikatovilisikhminimizatsiey" TargetMode="External"/><Relationship Id="rId765" Type="http://schemas.openxmlformats.org/officeDocument/2006/relationships/hyperlink" Target="https://www.bashinkom.ru/products/ojz/Pravilnyesrokiposevaposadkiovoshchnykhkultur" TargetMode="External"/><Relationship Id="rId766" Type="http://schemas.openxmlformats.org/officeDocument/2006/relationships/hyperlink" Target="https://www.bashinkom.ru/products/ojz/Semenarassadasazhentsy" TargetMode="External"/><Relationship Id="rId767" Type="http://schemas.openxmlformats.org/officeDocument/2006/relationships/hyperlink" Target="https://www.bashinkom.ru/products/ojz/SpravochnikpoudobreniyamDlyasadovodoviogorodnikov" TargetMode="External"/><Relationship Id="rId768" Type="http://schemas.openxmlformats.org/officeDocument/2006/relationships/hyperlink" Target="https://www.bashinkom.ru/products/ojz/CHudesnyygazonvneprostomklimateRossiiisopredelnykhterritoriy" TargetMode="External"/><Relationship Id="rId769" Type="http://schemas.openxmlformats.org/officeDocument/2006/relationships/hyperlink" Target="https://www.bashinkom.ru/products/ojz/Ekologicheskayainetolkozashchitaotbolezney" TargetMode="External"/><Relationship Id="rId770" Type="http://schemas.openxmlformats.org/officeDocument/2006/relationships/hyperlink" Target="https://www.bashinkom.ru/products/ojz/PastadlyaochistkirukAleGarazh05l" TargetMode="External"/><Relationship Id="rId771" Type="http://schemas.openxmlformats.org/officeDocument/2006/relationships/hyperlink" Target="https://www.bashinkom.ru/products/ojz/BiotekhnologiinaborBioZashchitasadaogorodaprofilaktika" TargetMode="External"/><Relationship Id="rId772" Type="http://schemas.openxmlformats.org/officeDocument/2006/relationships/hyperlink" Target="https://www.bashinkom.ru/products/ojz/BiotekhnologiinaborBiozashchitasadaogorodalechenie" TargetMode="External"/><Relationship Id="rId773" Type="http://schemas.openxmlformats.org/officeDocument/2006/relationships/hyperlink" Target="https://www.bashinkom.ru/products/ojz/BiotekhnologiinaborVesenniy" TargetMode="External"/><Relationship Id="rId774" Type="http://schemas.openxmlformats.org/officeDocument/2006/relationships/hyperlink" Target="https://www.bashinkom.ru/products/ojz/BiotekhnologiinaborDlyavyrashchivaniyakrepkoyrassady" TargetMode="External"/><Relationship Id="rId775" Type="http://schemas.openxmlformats.org/officeDocument/2006/relationships/hyperlink" Target="https://www.bashinkom.ru/products/ojz/BiotekhnologiinaborZelennapodokonnike" TargetMode="External"/><Relationship Id="rId776" Type="http://schemas.openxmlformats.org/officeDocument/2006/relationships/hyperlink" Target="https://www.bashinkom.ru/products/ojz/BiotekhnologiinaborObilnoetsvetenie" TargetMode="External"/><Relationship Id="rId777" Type="http://schemas.openxmlformats.org/officeDocument/2006/relationships/hyperlink" Target="https://www.bashinkom.ru/products/ojz/BiotekhnologiinaborOsenniy" TargetMode="External"/><Relationship Id="rId778" Type="http://schemas.openxmlformats.org/officeDocument/2006/relationships/hyperlink" Target="https://www.bashinkom.ru/products/ojz/BiotekhnologiinaborPeresadkakomnatnykhtsvetov" TargetMode="External"/><Relationship Id="rId779" Type="http://schemas.openxmlformats.org/officeDocument/2006/relationships/hyperlink" Target="https://www.bashinkom.ru/products/ojz/BiotekhnologiinaborUkhodzakomnatnymitsvetami" TargetMode="External"/><Relationship Id="rId780" Type="http://schemas.openxmlformats.org/officeDocument/2006/relationships/hyperlink" Target="https://www.bashinkom.ru/products/ojz/BiotekhnologiinaborKHranenieUrozhaya" TargetMode="External"/><Relationship Id="rId781" Type="http://schemas.openxmlformats.org/officeDocument/2006/relationships/hyperlink" Target="https://www.bashinkom.ru/products/ojz/VikaOveszelenoeudobrenie03kg" TargetMode="External"/><Relationship Id="rId782" Type="http://schemas.openxmlformats.org/officeDocument/2006/relationships/hyperlink" Target="https://www.bashinkom.ru/products/ojz/VikaRozhzelenoeudobrenie05kg" TargetMode="External"/><Relationship Id="rId783" Type="http://schemas.openxmlformats.org/officeDocument/2006/relationships/hyperlink" Target="https://www.bashinkom.ru/products/ojz/Gorchitsazelenoeudobrenie05kg" TargetMode="External"/><Relationship Id="rId784" Type="http://schemas.openxmlformats.org/officeDocument/2006/relationships/hyperlink" Target="https://www.bashinkom.ru/products/ojz/Gorynychbinarnyybiopreparatdlyatualetovivygrebnykhyam" TargetMode="External"/><Relationship Id="rId785" Type="http://schemas.openxmlformats.org/officeDocument/2006/relationships/hyperlink" Target="https://www.bashinkom.ru/products/ojz/GumiBTBLPTSUNIVERSALNYYNABORtrekhkomponentnyy6g50g50g" TargetMode="External"/><Relationship Id="rId786" Type="http://schemas.openxmlformats.org/officeDocument/2006/relationships/hyperlink" Target="https://www.bashinkom.ru/products/ojz/ZHyeltyylovkach" TargetMode="External"/><Relationship Id="rId787" Type="http://schemas.openxmlformats.org/officeDocument/2006/relationships/hyperlink" Target="https://www.bashinkom.ru/products/ojz/LOVCHIYPOYASdlyazashchityplodovykhidekorativnykhkultur" TargetMode="External"/><Relationship Id="rId788" Type="http://schemas.openxmlformats.org/officeDocument/2006/relationships/hyperlink" Target="https://www.bashinkom.ru/products/ojz/Oveszelenoeudobrenie03kg" TargetMode="External"/><Relationship Id="rId789" Type="http://schemas.openxmlformats.org/officeDocument/2006/relationships/hyperlink" Target="https://www.bashinkom.ru/products/ojz/ROZHOZIMAYAzelenoeudobrenie05kg" TargetMode="External"/><Relationship Id="rId790" Type="http://schemas.openxmlformats.org/officeDocument/2006/relationships/hyperlink" Target="https://www.bashinkom.ru/products/ojz/Svetilnik3urozhayaOZHZ" TargetMode="External"/><Relationship Id="rId791" Type="http://schemas.openxmlformats.org/officeDocument/2006/relationships/hyperlink" Target="https://www.bashinkom.ru/products/ojz/Svetilnik5urozhaevOZHZ" TargetMode="External"/><Relationship Id="rId792" Type="http://schemas.openxmlformats.org/officeDocument/2006/relationships/hyperlink" Target="https://www.bashinkom.ru/products/ojz/Udachnyybiopreparatdlyatualetovivygrebnykhyam30g" TargetMode="External"/><Relationship Id="rId793" Type="http://schemas.openxmlformats.org/officeDocument/2006/relationships/hyperlink" Target="https://www.bashinkom.ru/products/ojz/FitoSvetilniksvetodiodnyyFitoSpektrOZHZ" TargetMode="External"/><Relationship Id="rId794" Type="http://schemas.openxmlformats.org/officeDocument/2006/relationships/hyperlink" Target="https://www.bashinkom.ru/products/ojz/KHozyainSeptika50g" TargetMode="External"/><Relationship Id="rId795" Type="http://schemas.openxmlformats.org/officeDocument/2006/relationships/hyperlink" Target="https://www.bashinkom.ru/products/ojz/TSarDorantiNETZAPAKHOV03l" TargetMode="External"/><Relationship Id="rId796" Type="http://schemas.openxmlformats.org/officeDocument/2006/relationships/hyperlink" Target="https://www.bashinkom.ru/products/ojz/TSarDorantobezvrezhivaetvirusyibakterii" TargetMode="External"/><Relationship Id="rId797" Type="http://schemas.openxmlformats.org/officeDocument/2006/relationships/hyperlink" Target="https://www.bashinkom.ru/products/ojz/EkomyloNezhnulkadlyarukitela05l" TargetMode="External"/><Relationship Id="rId798" Type="http://schemas.openxmlformats.org/officeDocument/2006/relationships/hyperlink" Target="https://www.bashinkom.ru/products/ojz/EkomyloOgorodnik05l" TargetMode="External"/><Relationship Id="rId799" Type="http://schemas.openxmlformats.org/officeDocument/2006/relationships/hyperlink" Target="https://www.bashinkom.ru/products/ojz/EkomyloKHozyaystvennoeuniversalnoeprobioticheskoe5l" TargetMode="External"/></Relationships>
</file>

<file path=xl/worksheets/_rels/sheet4.xml.rels><?xml version='1.0' encoding='UTF-8' standalone='yes'?>
<Relationships xmlns="http://schemas.openxmlformats.org/package/2006/relationships"><Relationship Type="http://schemas.openxmlformats.org/officeDocument/2006/relationships/table" Target="/xl/tables/table3.xml" Id="R698fbb778e344ebf"/><Relationship Id="rId2" Type="http://schemas.openxmlformats.org/officeDocument/2006/relationships/hyperlink" Target="https://aminosil.ru/vitamini-dlya-atmosfernyh-tillandsiy-v-forme-spreya" TargetMode="External"/><Relationship Id="rId3" Type="http://schemas.openxmlformats.org/officeDocument/2006/relationships/hyperlink" Target="https://aminosil.ru/vitamini-dlya-gazona-v-granulah" TargetMode="External"/><Relationship Id="rId4" Type="http://schemas.openxmlformats.org/officeDocument/2006/relationships/hyperlink" Target="https://aminosil.ru/vitamini-dlya-gazonov-v-forme-kontsentrata" TargetMode="External"/><Relationship Id="rId5" Type="http://schemas.openxmlformats.org/officeDocument/2006/relationships/hyperlink" Target="https://aminosil.ru/vitaminy-dlya-golubiki-v-forme-granul" TargetMode="External"/><Relationship Id="rId6" Type="http://schemas.openxmlformats.org/officeDocument/2006/relationships/hyperlink" Target="https://aminosil.ru/vitamini-dlya-golubiki-v-forme-kontsentrata" TargetMode="External"/><Relationship Id="rId7" Type="http://schemas.openxmlformats.org/officeDocument/2006/relationships/hyperlink" Target="https://aminosil.ru/vitamini-dlya-gortenzii-i-azalii-v-forme-gelya" TargetMode="External"/><Relationship Id="rId8" Type="http://schemas.openxmlformats.org/officeDocument/2006/relationships/hyperlink" Target="https://aminosil.ru/vitamini-dlya-gortenzii-i-azalii-v-forme-granul" TargetMode="External"/><Relationship Id="rId9" Type="http://schemas.openxmlformats.org/officeDocument/2006/relationships/hyperlink" Target="https://aminosil.ru/vitamini-dlya-gortenzii-i-azalii-forme-k" TargetMode="External"/><Relationship Id="rId10" Type="http://schemas.openxmlformats.org/officeDocument/2006/relationships/hyperlink" Target="https://aminosil.ru/vitamini-dlya-dekorativno-listvennih-rasteniy-gel" TargetMode="External"/><Relationship Id="rId11" Type="http://schemas.openxmlformats.org/officeDocument/2006/relationships/hyperlink" Target="https://aminosil.ru/vitamini-dlya-dekorativno-listvennih-rasteniy-v-granulah" TargetMode="External"/><Relationship Id="rId12" Type="http://schemas.openxmlformats.org/officeDocument/2006/relationships/hyperlink" Target="https://aminosil.ru/vitamini-dlya-dekorativno-listvennih-rasteniy-koncentrat" TargetMode="External"/><Relationship Id="rId13" Type="http://schemas.openxmlformats.org/officeDocument/2006/relationships/hyperlink" Target="https://aminosil.ru/vitaminy-dlya-zamiokulkasa-v-forme-koncentrata" TargetMode="External"/><Relationship Id="rId14" Type="http://schemas.openxmlformats.org/officeDocument/2006/relationships/hyperlink" Target="https://aminosil.ru/vitamini-dlya-kaktusov-i-sukkulentov-v-granulah" TargetMode="External"/><Relationship Id="rId15" Type="http://schemas.openxmlformats.org/officeDocument/2006/relationships/hyperlink" Target="https://aminosil.ru/vitamini-dlya-kaktusov-i-sukkulentov-kontsentrat" TargetMode="External"/><Relationship Id="rId16" Type="http://schemas.openxmlformats.org/officeDocument/2006/relationships/hyperlink" Target="https://aminosil.ru/vitamini-dlya-klubniki-v-granulah" TargetMode="External"/><Relationship Id="rId17" Type="http://schemas.openxmlformats.org/officeDocument/2006/relationships/hyperlink" Target="https://aminosil.ru/vitamini-dlya-klubniki-v-forme-kontsentrata" TargetMode="External"/><Relationship Id="rId18" Type="http://schemas.openxmlformats.org/officeDocument/2006/relationships/hyperlink" Target="https://aminosil.ru/vitamini-dlya-luka-i-chesnoka-forme-kontsentrata" TargetMode="External"/><Relationship Id="rId19" Type="http://schemas.openxmlformats.org/officeDocument/2006/relationships/hyperlink" Target="https://aminosil.ru/vitamini-dlya-ovoschei-granulah" TargetMode="External"/><Relationship Id="rId20" Type="http://schemas.openxmlformats.org/officeDocument/2006/relationships/hyperlink" Target="https://aminosil.ru/vitamini-dlya-ovoschei-v-forme-kontsentrata" TargetMode="External"/><Relationship Id="rId21" Type="http://schemas.openxmlformats.org/officeDocument/2006/relationships/hyperlink" Target="https://aminosil.ru/vitamini-dlya-rassadi-v-granulah" TargetMode="External"/><Relationship Id="rId22" Type="http://schemas.openxmlformats.org/officeDocument/2006/relationships/hyperlink" Target="https://aminosil.ru/vitamini-dlya-ovoschei-i-rassadi-v-forme-gelya" TargetMode="External"/><Relationship Id="rId23" Type="http://schemas.openxmlformats.org/officeDocument/2006/relationships/hyperlink" Target="https://aminosil.ru/vitamini-dlya-ogurtsov-v-forme-kontsentrata" TargetMode="External"/><Relationship Id="rId24" Type="http://schemas.openxmlformats.org/officeDocument/2006/relationships/hyperlink" Target="https://aminosil.ru/vitamini-dlya-ogurtsov-kabachkov-v-granulah" TargetMode="External"/><Relationship Id="rId25" Type="http://schemas.openxmlformats.org/officeDocument/2006/relationships/hyperlink" Target="https://aminosil.ru/vitamini-dlya-orhidei-v-granulah" TargetMode="External"/><Relationship Id="rId26" Type="http://schemas.openxmlformats.org/officeDocument/2006/relationships/hyperlink" Target="https://aminosil.ru/vitamini-dlya-orhidei-v-forme-gelya" TargetMode="External"/><Relationship Id="rId27" Type="http://schemas.openxmlformats.org/officeDocument/2006/relationships/hyperlink" Target="https://aminosil.ru/vitamini-dlya-orhidei-v-forme-kontsentra" TargetMode="External"/><Relationship Id="rId28" Type="http://schemas.openxmlformats.org/officeDocument/2006/relationships/hyperlink" Target="https://aminosil.ru/vitamini-dlya-petunii-v-granulah" TargetMode="External"/><Relationship Id="rId29" Type="http://schemas.openxmlformats.org/officeDocument/2006/relationships/hyperlink" Target="https://aminosil.ru/vitamini-dlya-petunii-v-forme-kontsentra" TargetMode="External"/><Relationship Id="rId30" Type="http://schemas.openxmlformats.org/officeDocument/2006/relationships/hyperlink" Target="https://aminosil.ru/vitamini-dlya-pionov-v-forme-granul" TargetMode="External"/><Relationship Id="rId31" Type="http://schemas.openxmlformats.org/officeDocument/2006/relationships/hyperlink" Target="https://aminosil.ru/vitamini-dlya-pionov-forme-kontsentrata" TargetMode="External"/><Relationship Id="rId32" Type="http://schemas.openxmlformats.org/officeDocument/2006/relationships/hyperlink" Target="https://aminosil.ru/vitamini-dlya-rassady-v-forme-kontsentra" TargetMode="External"/><Relationship Id="rId33" Type="http://schemas.openxmlformats.org/officeDocument/2006/relationships/hyperlink" Target="https://aminosil.ru/vitamini-dlya-roz-v-granulah" TargetMode="External"/><Relationship Id="rId34" Type="http://schemas.openxmlformats.org/officeDocument/2006/relationships/hyperlink" Target="https://aminosil.ru/vitamini-dlya-roz-v-forme-gelya" TargetMode="External"/><Relationship Id="rId35" Type="http://schemas.openxmlformats.org/officeDocument/2006/relationships/hyperlink" Target="https://aminosil.ru/vitamini-dlya-roz-forme-kontsentrata" TargetMode="External"/><Relationship Id="rId36" Type="http://schemas.openxmlformats.org/officeDocument/2006/relationships/hyperlink" Target="https://aminosil.ru/vitamini-dlya-tomatov-v-forme-kontsentrata" TargetMode="External"/><Relationship Id="rId37" Type="http://schemas.openxmlformats.org/officeDocument/2006/relationships/hyperlink" Target="https://aminosil.ru/vitamini-dlya-tomatov-percev-v-granulah" TargetMode="External"/><Relationship Id="rId38" Type="http://schemas.openxmlformats.org/officeDocument/2006/relationships/hyperlink" Target="https://aminosil.ru/vitamini-dlya-tui-v-forme-kontsentra" TargetMode="External"/><Relationship Id="rId39" Type="http://schemas.openxmlformats.org/officeDocument/2006/relationships/hyperlink" Target="https://aminosil.ru/vitamini-dlya-fialok-v-forme-gelya" TargetMode="External"/><Relationship Id="rId40" Type="http://schemas.openxmlformats.org/officeDocument/2006/relationships/hyperlink" Target="https://aminosil.ru/vitamini-dlya-fialok-v-forme-kontsentrata" TargetMode="External"/><Relationship Id="rId41" Type="http://schemas.openxmlformats.org/officeDocument/2006/relationships/hyperlink" Target="https://aminosil.ru/vitamini-dlya-fikusov-i-palm-v-forme-kontsentrata" TargetMode="External"/><Relationship Id="rId42" Type="http://schemas.openxmlformats.org/officeDocument/2006/relationships/hyperlink" Target="https://aminosil.ru/vitamini-dlya-hvoinih-v-forme-kontsentra" TargetMode="External"/><Relationship Id="rId43" Type="http://schemas.openxmlformats.org/officeDocument/2006/relationships/hyperlink" Target="https://aminosil.ru/vitamini-dlya-hvoinih-rastenii-v-granulah" TargetMode="External"/><Relationship Id="rId44" Type="http://schemas.openxmlformats.org/officeDocument/2006/relationships/hyperlink" Target="https://aminosil.ru/-vitamini-dlya-hvoinih-rastenii-v-forme-gelya" TargetMode="External"/><Relationship Id="rId45" Type="http://schemas.openxmlformats.org/officeDocument/2006/relationships/hyperlink" Target="https://aminosil.ru/vitamini-dlya-tsvetov-v-granulah" TargetMode="External"/><Relationship Id="rId46" Type="http://schemas.openxmlformats.org/officeDocument/2006/relationships/hyperlink" Target="https://aminosil.ru/vitamini-dlya-tsvetov-v-forme-gelya" TargetMode="External"/><Relationship Id="rId47" Type="http://schemas.openxmlformats.org/officeDocument/2006/relationships/hyperlink" Target="https://aminosil.ru/vitamini-dlya-tsvetov-forme-kontsentrata" TargetMode="External"/><Relationship Id="rId48" Type="http://schemas.openxmlformats.org/officeDocument/2006/relationships/hyperlink" Target="https://aminosil.ru/vitamini-dlya-tsitrusovih-v-granulah" TargetMode="External"/><Relationship Id="rId49" Type="http://schemas.openxmlformats.org/officeDocument/2006/relationships/hyperlink" Target="https://aminosil.ru/vitamini-dlya-tsitrusovih-v-forme-kontsentrata" TargetMode="External"/><Relationship Id="rId50" Type="http://schemas.openxmlformats.org/officeDocument/2006/relationships/hyperlink" Target="https://aminosil.ru/vitamini-universalnie-v-forme-gelya" TargetMode="External"/><Relationship Id="rId51" Type="http://schemas.openxmlformats.org/officeDocument/2006/relationships/hyperlink" Target="https://aminosil.ru/vitamini-universalnie-v-granulah" TargetMode="External"/><Relationship Id="rId52" Type="http://schemas.openxmlformats.org/officeDocument/2006/relationships/hyperlink" Target="https://aminosil.ru/vitamini-universalniye-osennie-v-forme-granul" TargetMode="External"/><Relationship Id="rId53" Type="http://schemas.openxmlformats.org/officeDocument/2006/relationships/hyperlink" Target="https://aminosil.ru/vitamini-universalnie-v-forme-kontsentra" TargetMode="External"/><Relationship Id="rId54" Type="http://schemas.openxmlformats.org/officeDocument/2006/relationships/hyperlink" Target="https://aminosil.ru/vitamini-universalniye-osennie-v-forme-kontsentra" TargetMode="External"/><Relationship Id="rId55" Type="http://schemas.openxmlformats.org/officeDocument/2006/relationships/hyperlink" Target="https://aminosil.ru/sprei-aminosil-dlya-gortenzii" TargetMode="External"/><Relationship Id="rId56" Type="http://schemas.openxmlformats.org/officeDocument/2006/relationships/hyperlink" Target="https://aminosil.ru/sprei-aminosil-dlya-listvennih-rastenii" TargetMode="External"/><Relationship Id="rId57" Type="http://schemas.openxmlformats.org/officeDocument/2006/relationships/hyperlink" Target="https://aminosil.ru/sprei-aminosil-dlya-orhidei" TargetMode="External"/><Relationship Id="rId58" Type="http://schemas.openxmlformats.org/officeDocument/2006/relationships/hyperlink" Target="https://aminosil.ru/sprei-aminosil-dlya-petunii" TargetMode="External"/><Relationship Id="rId59" Type="http://schemas.openxmlformats.org/officeDocument/2006/relationships/hyperlink" Target="https://aminosil.ru/sprei-aminosil-dlya-rassadi" TargetMode="External"/><Relationship Id="rId60" Type="http://schemas.openxmlformats.org/officeDocument/2006/relationships/hyperlink" Target="https://aminosil.ru/sprei-aminosil-dlya-roz" TargetMode="External"/><Relationship Id="rId61" Type="http://schemas.openxmlformats.org/officeDocument/2006/relationships/hyperlink" Target="https://aminosil.ru/sprei-aminosil-dlya-tsvetov" TargetMode="External"/><Relationship Id="rId62" Type="http://schemas.openxmlformats.org/officeDocument/2006/relationships/hyperlink" Target="https://aminosil.ru/sprei-aminosil-dlya-tsitrusovih" TargetMode="External"/><Relationship Id="rId63" Type="http://schemas.openxmlformats.org/officeDocument/2006/relationships/hyperlink" Target="https://aminosil.ru/sprei-aminosil-universalnii" TargetMode="External"/><Relationship Id="rId64" Type="http://schemas.openxmlformats.org/officeDocument/2006/relationships/hyperlink" Target="https://bio-kompleks.ru/catalog/vsya_produktsiya/bio_kompleks_sila_aminokislot_tm_udobryasha/" TargetMode="External"/><Relationship Id="rId65" Type="http://schemas.openxmlformats.org/officeDocument/2006/relationships/hyperlink" Target="https://bio-kompleks.ru/catalog/vsya_produktsiya/biostim_rost_stimulyator_rosta_fl_10_ml/" TargetMode="External"/><Relationship Id="rId66" Type="http://schemas.openxmlformats.org/officeDocument/2006/relationships/hyperlink" Target="https://bio-kompleks.ru/catalog/vsya_produktsiya/biostim_start_stimulyator_dlya_semyan_i_rassady_fl_10_ml/" TargetMode="External"/><Relationship Id="rId67" Type="http://schemas.openxmlformats.org/officeDocument/2006/relationships/hyperlink" Target="https://bio-kompleks.ru/catalog/vsya_produktsiya/biostim_universal_stimulyator_ot_stressov_fl_25_ml/" TargetMode="External"/><Relationship Id="rId68" Type="http://schemas.openxmlformats.org/officeDocument/2006/relationships/hyperlink" Target="https://bio-kompleks.ru/catalog/vsya_produktsiya/mikorayz_biostimulyator_na_osnove_mikorizy_paket_5_tab/" TargetMode="External"/><Relationship Id="rId69" Type="http://schemas.openxmlformats.org/officeDocument/2006/relationships/hyperlink" Target="https://5-sezonov.ru/" TargetMode="External"/><Relationship Id="rId70" Type="http://schemas.openxmlformats.org/officeDocument/2006/relationships/hyperlink" Target="https://organic-mix.ru/catalog/mixcap-super-rost-stimulyator-rosta-v-kapsulakh-60-sht/" TargetMode="External"/><Relationship Id="rId71" Type="http://schemas.openxmlformats.org/officeDocument/2006/relationships/hyperlink" Target="https://organic-mix.ru/catalog/aminorost-banochka-dlya-rassady-120-gr-organik-miks/" TargetMode="External"/><Relationship Id="rId72" Type="http://schemas.openxmlformats.org/officeDocument/2006/relationships/hyperlink" Target="https://organic-mix.ru/catalog/aminorost-banochka-30-gr-organik-miks/" TargetMode="External"/><Relationship Id="rId73" Type="http://schemas.openxmlformats.org/officeDocument/2006/relationships/hyperlink" Target="https://www.bashinkom.ru/products/avz/BiyakAminoKHit" TargetMode="External"/><Relationship Id="rId74" Type="http://schemas.openxmlformats.org/officeDocument/2006/relationships/hyperlink" Target="https://bio-kompleks.ru/catalog/vsya_produktsiya/bio_kompleks_gumat_kaliya_/" TargetMode="External"/><Relationship Id="rId75" Type="http://schemas.openxmlformats.org/officeDocument/2006/relationships/hyperlink" Target="https://bio-kompleks.ru/catalog/vsya_produktsiya/gumat_kaliya_sufler_udobrenie_dlya_ovoshchnykh_fl_500_ml/" TargetMode="External"/><Relationship Id="rId76" Type="http://schemas.openxmlformats.org/officeDocument/2006/relationships/hyperlink" Target="https://bio-kompleks.ru/catalog/vsya_produktsiya/gumat_kaliya_sufler_udobrenie_dlya_plodovo_yagodnykh_fl_500_ml/" TargetMode="External"/><Relationship Id="rId77" Type="http://schemas.openxmlformats.org/officeDocument/2006/relationships/hyperlink" Target="https://bio-kompleks.ru/catalog/vsya_produktsiya/gumat_kaliya_sufler_udobrenie_dlya_tsvetochno_dekor_fl_500_ml/" TargetMode="External"/><Relationship Id="rId78" Type="http://schemas.openxmlformats.org/officeDocument/2006/relationships/hyperlink" Target="https://www.bashinkom.ru/products/ojz/GUMIKaliynyy05l" TargetMode="External"/><Relationship Id="rId79" Type="http://schemas.openxmlformats.org/officeDocument/2006/relationships/hyperlink" Target="https://www.bashinkom.ru/products/ojz/OLIMPIYSKIYGUMIKKaliynyyNANOGEL300g" TargetMode="External"/><Relationship Id="rId80" Type="http://schemas.openxmlformats.org/officeDocument/2006/relationships/hyperlink" Target="https://bio-kompleks.ru/catalog/vsya_produktsiya/bio_kompleks_rybnaya_muka/" TargetMode="External"/><Relationship Id="rId81" Type="http://schemas.openxmlformats.org/officeDocument/2006/relationships/hyperlink" Target="https://organic-mix.ru/catalog/rybnaya-muka/" TargetMode="External"/><Relationship Id="rId82" Type="http://schemas.openxmlformats.org/officeDocument/2006/relationships/hyperlink" Target="https://bio-kompleks.ru/catalog/vsya_produktsiya/bio_kompleks_krovyanaya_muka/" TargetMode="External"/><Relationship Id="rId83" Type="http://schemas.openxmlformats.org/officeDocument/2006/relationships/hyperlink" Target="https://organic-mix.ru/catalog/krovyanaya-muka/" TargetMode="External"/><Relationship Id="rId84" Type="http://schemas.openxmlformats.org/officeDocument/2006/relationships/hyperlink" Target="https://bio-kompleks.ru/catalog/vsya_produktsiya/bio_kompleks_kostnaya_muka/" TargetMode="External"/><Relationship Id="rId85" Type="http://schemas.openxmlformats.org/officeDocument/2006/relationships/hyperlink" Target="https://organic-mix.ru/catalog/kostnaya-muka-organik-miks-2-8-kg/" TargetMode="External"/><Relationship Id="rId86" Type="http://schemas.openxmlformats.org/officeDocument/2006/relationships/hyperlink" Target="https://bio-kompleks.ru/catalog/vsya_produktsiya/dachnyy_pomoshchnik_zelenoe_mylo_kalievoe_pulverizator/" TargetMode="External"/><Relationship Id="rId87" Type="http://schemas.openxmlformats.org/officeDocument/2006/relationships/hyperlink" Target="https://organic-mix.ru/catalog/bio-khanter-dlya-komnatnykh-rasteniy-sprey-ot-nasekomykh-vrediteley-500-ml-/" TargetMode="External"/><Relationship Id="rId88" Type="http://schemas.openxmlformats.org/officeDocument/2006/relationships/hyperlink" Target="https://organic-mix.ru/catalog/biokhanter-dlya-plodovykh-derevev-ot-nasekomykh-vrediteley-500-ml/" TargetMode="External"/><Relationship Id="rId89" Type="http://schemas.openxmlformats.org/officeDocument/2006/relationships/hyperlink" Target="https://organic-mix.ru/catalog/biokhanter-dlya-teplits-ot-nasekomykh-vrediteley-500-ml/" TargetMode="External"/><Relationship Id="rId90" Type="http://schemas.openxmlformats.org/officeDocument/2006/relationships/hyperlink" Target="https://organic-mix.ru/catalog/biokhanter-universalnyy-ot-nasekomykh-vrediteley-500-ml/" TargetMode="External"/><Relationship Id="rId91" Type="http://schemas.openxmlformats.org/officeDocument/2006/relationships/hyperlink" Target="https://organic-mix.ru/catalog/bio-khanter-universalnyy-sprey-ot-nasekomykh-vrediteley-500-ml-/" TargetMode="External"/><Relationship Id="rId92" Type="http://schemas.openxmlformats.org/officeDocument/2006/relationships/hyperlink" Target="https://organic-mix.ru/catalog/stoptlin-sprey-ot-tli-1-l-/" TargetMode="External"/><Relationship Id="rId93" Type="http://schemas.openxmlformats.org/officeDocument/2006/relationships/hyperlink" Target="https://www.bashinkom.ru/products/ojz/MylozelenoerastitelnoekaliynoeNaDachu" TargetMode="External"/><Relationship Id="rId94" Type="http://schemas.openxmlformats.org/officeDocument/2006/relationships/hyperlink" Target="https://bio-kompleks.ru/catalog/vsya_produktsiya/sera_400_ks_ot_bolezney_i_vredit_muchn_rosa_parsha_kleshch/" TargetMode="External"/><Relationship Id="rId95" Type="http://schemas.openxmlformats.org/officeDocument/2006/relationships/hyperlink" Target="https://www.bashinkom.ru/products/ojz/TioBash05l" TargetMode="External"/><Relationship Id="rId96" Type="http://schemas.openxmlformats.org/officeDocument/2006/relationships/hyperlink" Target="https://www.bashinkom.ru/products/avz/TioBash" TargetMode="External"/><Relationship Id="rId97" Type="http://schemas.openxmlformats.org/officeDocument/2006/relationships/hyperlink" Target="https://bio-kompleks.ru/catalog/vsya_produktsiya/bio_kompleks_sapropel_superkontsentrat_/" TargetMode="External"/><Relationship Id="rId98" Type="http://schemas.openxmlformats.org/officeDocument/2006/relationships/hyperlink" Target="https://5-sezonov.ru/" TargetMode="External"/><Relationship Id="rId99" Type="http://schemas.openxmlformats.org/officeDocument/2006/relationships/hyperlink" Target="https://bio-kompleks.ru/catalog/vsya_produktsiya/bio_kompleks_biogumus/" TargetMode="External"/><Relationship Id="rId100" Type="http://schemas.openxmlformats.org/officeDocument/2006/relationships/hyperlink" Target="https://organic-mix.ru/catalog/biogumus-dlya-domashnikh-rasteniy/" TargetMode="External"/><Relationship Id="rId101" Type="http://schemas.openxmlformats.org/officeDocument/2006/relationships/hyperlink" Target="https://www.bashinkom.ru/products/ojz/DARPLODORODIYAkontsentratbioaktivirovannogogumusnogoudobreniya05kg" TargetMode="External"/><Relationship Id="rId102" Type="http://schemas.openxmlformats.org/officeDocument/2006/relationships/hyperlink" Target="https://www.bashinkom.ru/products/ojz/SotkAchernozemagumusaplodorodiya1l" TargetMode="External"/><Relationship Id="rId103" Type="http://schemas.openxmlformats.org/officeDocument/2006/relationships/hyperlink" Target="https://www.bashinkom.ru/products/ojz/KHozyainBatyushkagumusnyyorganicheskiyobogatiteliuluchshitelpochvy1kg" TargetMode="External"/><Relationship Id="rId104" Type="http://schemas.openxmlformats.org/officeDocument/2006/relationships/hyperlink" Target="https://bio-kompleks.ru/catalog/vsya_produktsiya/bio_kompleks_ekbi_1_dlya_semyan_i_korney_rassady/" TargetMode="External"/><Relationship Id="rId105" Type="http://schemas.openxmlformats.org/officeDocument/2006/relationships/hyperlink" Target="https://bio-kompleks.ru/catalog/vsya_produktsiya/bio_kompleks_ekbi_2_dlya_klubney_lukovits_i_korney_sazhentsev/" TargetMode="External"/><Relationship Id="rId106" Type="http://schemas.openxmlformats.org/officeDocument/2006/relationships/hyperlink" Target="https://bio-kompleks.ru/catalog/vsya_produktsiya/biostim_start_stimulyator_dlya_semyan_i_rassady_fl_10_ml/" TargetMode="External"/><Relationship Id="rId107" Type="http://schemas.openxmlformats.org/officeDocument/2006/relationships/hyperlink" Target="https://bio-kompleks.ru/catalog/vsya_produktsiya/korennik_sp_stimulyator_rosta_korney/" TargetMode="External"/><Relationship Id="rId108" Type="http://schemas.openxmlformats.org/officeDocument/2006/relationships/hyperlink" Target="https://5-sezonov.ru/" TargetMode="External"/><Relationship Id="rId109" Type="http://schemas.openxmlformats.org/officeDocument/2006/relationships/hyperlink" Target="https://5-sezonov.ru/" TargetMode="External"/><Relationship Id="rId110" Type="http://schemas.openxmlformats.org/officeDocument/2006/relationships/hyperlink" Target="https://organic-mix.ru/catalog/biokoren-banochka-50-gr-organik-miks/" TargetMode="External"/><Relationship Id="rId111" Type="http://schemas.openxmlformats.org/officeDocument/2006/relationships/hyperlink" Target="https://www.bashinkom.ru/products/ojz/KorneSilEkstra10g" TargetMode="External"/><Relationship Id="rId112" Type="http://schemas.openxmlformats.org/officeDocument/2006/relationships/hyperlink" Target="https://www.bashinkom.ru/products/prodecor/KorneSilEkstra" TargetMode="External"/><Relationship Id="rId113" Type="http://schemas.openxmlformats.org/officeDocument/2006/relationships/hyperlink" Target="https://www.bashinkom.ru/products/ojz/KORNESILGumi20ME03l" TargetMode="External"/><Relationship Id="rId114" Type="http://schemas.openxmlformats.org/officeDocument/2006/relationships/hyperlink" Target="https://bio-kompleks.ru/catalog/vsya_produktsiya/bio_kompleks_bokashi_/" TargetMode="External"/><Relationship Id="rId115" Type="http://schemas.openxmlformats.org/officeDocument/2006/relationships/hyperlink" Target="https://bio-kompleks.ru/catalog/vsya_produktsiya/bio_kompleks_superkompost/" TargetMode="External"/><Relationship Id="rId116" Type="http://schemas.openxmlformats.org/officeDocument/2006/relationships/hyperlink" Target="https://5-sezonov.ru/" TargetMode="External"/><Relationship Id="rId117" Type="http://schemas.openxmlformats.org/officeDocument/2006/relationships/hyperlink" Target="https://organic-mix.ru/catalog/uskoritel-kompostirovaniya-4l-organiks-miks/" TargetMode="External"/><Relationship Id="rId118" Type="http://schemas.openxmlformats.org/officeDocument/2006/relationships/hyperlink" Target="https://organic-mix.ru/catalog/shef-kompost-850-gr-organik-miks/" TargetMode="External"/><Relationship Id="rId119" Type="http://schemas.openxmlformats.org/officeDocument/2006/relationships/hyperlink" Target="https://www.bashinkom.ru/products/ojz/Kompostinuskoritelsozrevaniyakomposta05l" TargetMode="External"/><Relationship Id="rId120" Type="http://schemas.openxmlformats.org/officeDocument/2006/relationships/hyperlink" Target="https://www.bashinkom.ru/products/ojz/Kompostinuskoritelsozrevaniyakompostaporoshok" TargetMode="External"/><Relationship Id="rId121" Type="http://schemas.openxmlformats.org/officeDocument/2006/relationships/hyperlink" Target="https://www.bashinkom.ru/products/ojz/MikrobiologicheskiypreparatTravoZakvas5l" TargetMode="External"/><Relationship Id="rId122" Type="http://schemas.openxmlformats.org/officeDocument/2006/relationships/hyperlink" Target="https://www.bashinkom.ru/products/avz/Sternya12" TargetMode="External"/><Relationship Id="rId123" Type="http://schemas.openxmlformats.org/officeDocument/2006/relationships/hyperlink" Target="https://bio-kompleks.ru/catalog/vsya_produktsiya/mikorayz_biostimulyator_na_osnove_mikorizy_paket_5_tab/" TargetMode="External"/><Relationship Id="rId124" Type="http://schemas.openxmlformats.org/officeDocument/2006/relationships/hyperlink" Target="https://www.bashinkom.ru/products/avz/ZHidkayamikorizaBashinkom" TargetMode="External"/><Relationship Id="rId125" Type="http://schemas.openxmlformats.org/officeDocument/2006/relationships/hyperlink" Target="https://www.bashinkom.ru/products/ojz/KormilitsaMikorizagranulirovannyy08kg" TargetMode="External"/><Relationship Id="rId126" Type="http://schemas.openxmlformats.org/officeDocument/2006/relationships/hyperlink" Target="https://www.bashinkom.ru/products/ojz/KormilitsaMikoriza" TargetMode="External"/><Relationship Id="rId127" Type="http://schemas.openxmlformats.org/officeDocument/2006/relationships/hyperlink" Target="https://www.bashinkom.ru/products/ojz/KormilitsaMikorizaBashkirskaya-10l" TargetMode="External"/><Relationship Id="rId128" Type="http://schemas.openxmlformats.org/officeDocument/2006/relationships/hyperlink" Target="https://www.bashinkom.ru/products/avz/KormilitsaMikorizaBashkirskaya10l" TargetMode="External"/><Relationship Id="rId129" Type="http://schemas.openxmlformats.org/officeDocument/2006/relationships/hyperlink" Target="https://www.bashinkom.ru/products/prodecor/KormilitsaMikorizadlyagazona10kg" TargetMode="External"/><Relationship Id="rId130" Type="http://schemas.openxmlformats.org/officeDocument/2006/relationships/hyperlink" Target="https://www.bashinkom.ru/products/prodecor/KormilitsaMikorizadlyagazona3kg" TargetMode="External"/><Relationship Id="rId131" Type="http://schemas.openxmlformats.org/officeDocument/2006/relationships/hyperlink" Target="https://www.bashinkom.ru/products/prodecor/KormilitsaMikorizadlyaDekorativnykhderevevikustarnikov10kg" TargetMode="External"/><Relationship Id="rId132" Type="http://schemas.openxmlformats.org/officeDocument/2006/relationships/hyperlink" Target="https://www.bashinkom.ru/products/prodecor/KormilitsaMikorizadlyaKHvoynykh10kg" TargetMode="External"/><Relationship Id="rId133" Type="http://schemas.openxmlformats.org/officeDocument/2006/relationships/hyperlink" Target="https://www.bashinkom.ru/products/prodecor/KormilitsaMikorizadlyaTSvetov10kg" TargetMode="External"/><Relationship Id="rId134" Type="http://schemas.openxmlformats.org/officeDocument/2006/relationships/hyperlink" Target="https://www.bashinkom.ru/products/ojz/Kormilitsamikorizazhidkaya" TargetMode="External"/><Relationship Id="rId135" Type="http://schemas.openxmlformats.org/officeDocument/2006/relationships/hyperlink" Target="https://www.bashinkom.ru/products/prodecor/KormilitsaMikorizaUNIVERSALNAYA10kg" TargetMode="External"/><Relationship Id="rId136" Type="http://schemas.openxmlformats.org/officeDocument/2006/relationships/hyperlink" Target="https://www.bashinkom.ru/products/ojz/UdobreniegranulirovannoeDlyagazonaKHozyainPlodorodiyasKormilitseyMikorizoy30kg" TargetMode="External"/><Relationship Id="rId137" Type="http://schemas.openxmlformats.org/officeDocument/2006/relationships/hyperlink" Target="https://www.bashinkom.ru/products/avz/KHozyainPlodorodiyasKormilitseyMikorizoy" TargetMode="External"/><Relationship Id="rId138" Type="http://schemas.openxmlformats.org/officeDocument/2006/relationships/hyperlink" Target="https://bio-kompleks.ru/catalog/vsya_produktsiya/bio_kompleks_bokashi_/" TargetMode="External"/><Relationship Id="rId139" Type="http://schemas.openxmlformats.org/officeDocument/2006/relationships/hyperlink" Target="https://bio-kompleks.ru/catalog/vsya_produktsiya/bio_kompleks_zdorovaya_pochva_tm_udobryasha/" TargetMode="External"/><Relationship Id="rId140" Type="http://schemas.openxmlformats.org/officeDocument/2006/relationships/hyperlink" Target="https://www.bashinkom.ru/products/ojz/Pochvoozdoravlivayushchiymikrobiologicheskiypreparat33Bogatyrya1l" TargetMode="External"/><Relationship Id="rId141" Type="http://schemas.openxmlformats.org/officeDocument/2006/relationships/hyperlink" Target="https://www.bashinkom.ru/products/ojz/Pochvoozdoravlivayushchiymikrobiologicheskiypreparat33Bogatyryagranulirovannyy08kg" TargetMode="External"/><Relationship Id="rId142" Type="http://schemas.openxmlformats.org/officeDocument/2006/relationships/hyperlink" Target="https://www.bashinkom.ru/products/ojz/BioAzFK05l" TargetMode="External"/><Relationship Id="rId143" Type="http://schemas.openxmlformats.org/officeDocument/2006/relationships/hyperlink" Target="https://www.bashinkom.ru/products/avz/BioAzFK" TargetMode="External"/><Relationship Id="rId144" Type="http://schemas.openxmlformats.org/officeDocument/2006/relationships/hyperlink" Target="https://www.bashinkom.ru/products/ojz/Trikhodermiks-mini" TargetMode="External"/><Relationship Id="rId145" Type="http://schemas.openxmlformats.org/officeDocument/2006/relationships/hyperlink" Target="https://www.bashinkom.ru/products/avz/Trikhodermiks" TargetMode="External"/><Relationship Id="rId146" Type="http://schemas.openxmlformats.org/officeDocument/2006/relationships/hyperlink" Target="https://www.bashinkom.ru/products/prodecor/Trikhodermiks-prodecor" TargetMode="External"/><Relationship Id="rId147" Type="http://schemas.openxmlformats.org/officeDocument/2006/relationships/hyperlink" Target="https://bio-kompleks.ru/catalog/vsya_produktsiya/bio_kompleks_zdorovaya_pochva_tm_udobryasha/" TargetMode="External"/><Relationship Id="rId148" Type="http://schemas.openxmlformats.org/officeDocument/2006/relationships/hyperlink" Target="https://organic-mix.ru/catalog/pochvochist-850-g/" TargetMode="External"/><Relationship Id="rId149" Type="http://schemas.openxmlformats.org/officeDocument/2006/relationships/hyperlink" Target="https://organic-mix.ru/catalog/pochvochist-palochki-dlya-komnatnykh-rasteniy-150-gr-organik-miks/" TargetMode="External"/><Relationship Id="rId150" Type="http://schemas.openxmlformats.org/officeDocument/2006/relationships/hyperlink" Target="https://organic-mix.ru/catalog/pochvochist-palochki-dlya-rassady-150-gr-organik-miks/" TargetMode="External"/><Relationship Id="rId151" Type="http://schemas.openxmlformats.org/officeDocument/2006/relationships/hyperlink" Target="https://5-sezonov.ru/" TargetMode="External"/><Relationship Id="rId152" Type="http://schemas.openxmlformats.org/officeDocument/2006/relationships/hyperlink" Target="https://organic-mix.ru/catalog/gusenitsam-net-ot-gusenits-180-gr/" TargetMode="External"/><Relationship Id="rId153" Type="http://schemas.openxmlformats.org/officeDocument/2006/relationships/hyperlink" Target="https://www.bashinkom.ru/products/ojz/GumiBTBKARTOFELotkoloradskogozhukadvukhkomponentnyy6g100g" TargetMode="External"/><Relationship Id="rId154" Type="http://schemas.openxmlformats.org/officeDocument/2006/relationships/hyperlink" Target="https://www.bashinkom.ru/products/ojz/TurinBashZH200ml500ml" TargetMode="External"/><Relationship Id="rId155" Type="http://schemas.openxmlformats.org/officeDocument/2006/relationships/hyperlink" Target="https://www.bashinkom.ru/products/avz/TurinBashG" TargetMode="External"/><Relationship Id="rId156" Type="http://schemas.openxmlformats.org/officeDocument/2006/relationships/hyperlink" Target="https://bio-kompleks.ru/catalog/vsya_produktsiya/bio_kompleks_zdorovaya_pochva_tm_udobryasha/" TargetMode="External"/><Relationship Id="rId157" Type="http://schemas.openxmlformats.org/officeDocument/2006/relationships/hyperlink" Target="https://5-sezonov.ru/" TargetMode="External"/><Relationship Id="rId158" Type="http://schemas.openxmlformats.org/officeDocument/2006/relationships/hyperlink" Target="https://www.bashinkom.ru/products/prodecor/BoveriksZH-prodecor" TargetMode="External"/><Relationship Id="rId159" Type="http://schemas.openxmlformats.org/officeDocument/2006/relationships/hyperlink" Target="https://www.bashinkom.ru/products/ojz/BoveriksZH500ml200ml" TargetMode="External"/><Relationship Id="rId160" Type="http://schemas.openxmlformats.org/officeDocument/2006/relationships/hyperlink" Target="https://bio-kompleks.ru/catalog/vsya_produktsiya/bio_kompleks_mag_premium_ot_vrediteley_pulverizator_1_l_14/" TargetMode="External"/><Relationship Id="rId161" Type="http://schemas.openxmlformats.org/officeDocument/2006/relationships/hyperlink" Target="https://bio-kompleks.ru/catalog/vsya_produktsiya/bio_kompleks_mag_sredstvo_ot_belokrylki/" TargetMode="External"/><Relationship Id="rId162" Type="http://schemas.openxmlformats.org/officeDocument/2006/relationships/hyperlink" Target="https://bio-kompleks.ru/catalog/vsya_produktsiya/bio_kompleks_mag_sredstvo_ot_pautinnogo_kleshcha/" TargetMode="External"/><Relationship Id="rId163" Type="http://schemas.openxmlformats.org/officeDocument/2006/relationships/hyperlink" Target="https://bio-kompleks.ru/catalog/vsya_produktsiya/bio_kompleks_ekstrakt_kedra_/" TargetMode="External"/><Relationship Id="rId164" Type="http://schemas.openxmlformats.org/officeDocument/2006/relationships/hyperlink" Target="https://bio-kompleks.ru/catalog/vsya_produktsiya/bio_kompleks_ekstrakt_khvoi_/" TargetMode="External"/><Relationship Id="rId165" Type="http://schemas.openxmlformats.org/officeDocument/2006/relationships/hyperlink" Target="https://5-sezonov.ru/" TargetMode="External"/><Relationship Id="rId166" Type="http://schemas.openxmlformats.org/officeDocument/2006/relationships/hyperlink" Target="https://organic-mix.ru/catalog/antitripsin-ot-tripsa-100-ml/" TargetMode="External"/><Relationship Id="rId167" Type="http://schemas.openxmlformats.org/officeDocument/2006/relationships/hyperlink" Target="https://organic-mix.ru/catalog/aromashchit-dlya-klubniki-240-ml/" TargetMode="External"/><Relationship Id="rId168" Type="http://schemas.openxmlformats.org/officeDocument/2006/relationships/hyperlink" Target="https://organic-mix.ru/catalog/aromashchit-dlya-komnatnykh-rasteniy-30ml/" TargetMode="External"/><Relationship Id="rId169" Type="http://schemas.openxmlformats.org/officeDocument/2006/relationships/hyperlink" Target="https://organic-mix.ru/catalog/aromashchit-dlya-ogurtsov-i-ovoshchnykh-kultur-240-ml/" TargetMode="External"/><Relationship Id="rId170" Type="http://schemas.openxmlformats.org/officeDocument/2006/relationships/hyperlink" Target="https://organic-mix.ru/catalog/aromashchit-dlya-plodovykh-derevev-240-ml/" TargetMode="External"/><Relationship Id="rId171" Type="http://schemas.openxmlformats.org/officeDocument/2006/relationships/hyperlink" Target="https://organic-mix.ru/catalog/aromashchit-dlya-rassady-30-ml/" TargetMode="External"/><Relationship Id="rId172" Type="http://schemas.openxmlformats.org/officeDocument/2006/relationships/hyperlink" Target="https://organic-mix.ru/catalog/aromashchit-dlya-roz-i-tsvetov-240-ml/" TargetMode="External"/><Relationship Id="rId173" Type="http://schemas.openxmlformats.org/officeDocument/2006/relationships/hyperlink" Target="https://organic-mix.ru/catalog/aromashchit-dlya-smorodiny-i-yagodnykh-kustarnikov-240-ml/" TargetMode="External"/><Relationship Id="rId174" Type="http://schemas.openxmlformats.org/officeDocument/2006/relationships/hyperlink" Target="https://organic-mix.ru/catalog/aromashchit-dlya-teplits-240-ml/" TargetMode="External"/><Relationship Id="rId175" Type="http://schemas.openxmlformats.org/officeDocument/2006/relationships/hyperlink" Target="https://organic-mix.ru/catalog/aromashchit-dlya-khvoynykh-240-ml/" TargetMode="External"/><Relationship Id="rId176" Type="http://schemas.openxmlformats.org/officeDocument/2006/relationships/hyperlink" Target="https://organic-mix.ru/catalog/aromashchit-universalnyy-240-ml/" TargetMode="External"/><Relationship Id="rId177" Type="http://schemas.openxmlformats.org/officeDocument/2006/relationships/hyperlink" Target="https://organic-mix.ru/catalog/bezpautin-ot-pautinnogo-kleshcha-100-ml/" TargetMode="External"/><Relationship Id="rId178" Type="http://schemas.openxmlformats.org/officeDocument/2006/relationships/hyperlink" Target="https://organic-mix.ru/catalog/bio-blaster-dlya-komnatnykh-ot-nasekomykh-vrediteley-10-ml/" TargetMode="External"/><Relationship Id="rId179" Type="http://schemas.openxmlformats.org/officeDocument/2006/relationships/hyperlink" Target="https://organic-mix.ru/catalog/bioblaster-dlya-ovoshchey-ot-nasekomykh-vrediteley-100-ml/" TargetMode="External"/><Relationship Id="rId180" Type="http://schemas.openxmlformats.org/officeDocument/2006/relationships/hyperlink" Target="https://organic-mix.ru/catalog/bio-blaster-dlya-orkhidey-ot-nasekomykh-vrediteley-10-ml/" TargetMode="External"/><Relationship Id="rId181" Type="http://schemas.openxmlformats.org/officeDocument/2006/relationships/hyperlink" Target="https://organic-mix.ru/catalog/bio-blaster-dlya-rassady-ot-nasekomykh-vrediteley-10-ml/" TargetMode="External"/><Relationship Id="rId182" Type="http://schemas.openxmlformats.org/officeDocument/2006/relationships/hyperlink" Target="https://organic-mix.ru/catalog/bio-blaster-dlya-roz-ot-nasekomykh-vrediteley-10-ml/" TargetMode="External"/><Relationship Id="rId183" Type="http://schemas.openxmlformats.org/officeDocument/2006/relationships/hyperlink" Target="https://organic-mix.ru/catalog/bioblaster-dlya-teplits-ot-nasekomykh-vrediteley-100-ml-/" TargetMode="External"/><Relationship Id="rId184" Type="http://schemas.openxmlformats.org/officeDocument/2006/relationships/hyperlink" Target="https://organic-mix.ru/catalog/bioblaster-universalnyy-ot-nasekomykh-vrediteley-100-ml-/" TargetMode="External"/><Relationship Id="rId185" Type="http://schemas.openxmlformats.org/officeDocument/2006/relationships/hyperlink" Target="https://organic-mix.ru/catalog/biozashchitin-v-ampule-organicheskoe-sredstvo-zashchity-rasteniy-3-v-1-5-ml/" TargetMode="External"/><Relationship Id="rId186" Type="http://schemas.openxmlformats.org/officeDocument/2006/relationships/hyperlink" Target="https://organic-mix.ru/catalog/tlinin-ot-tli-100-ml/" TargetMode="External"/><Relationship Id="rId187" Type="http://schemas.openxmlformats.org/officeDocument/2006/relationships/hyperlink" Target="https://organic-mix.ru/catalog/fitokill-dlya-vesenney-obrabotki-sada-240-ml/" TargetMode="External"/><Relationship Id="rId188" Type="http://schemas.openxmlformats.org/officeDocument/2006/relationships/hyperlink" Target="https://bio-kompleks.ru/catalog/vsya_produktsiya/bio_kompleks_zdorovaya_vershinka_tm_mag_10_g_15/" TargetMode="External"/><Relationship Id="rId189" Type="http://schemas.openxmlformats.org/officeDocument/2006/relationships/hyperlink" Target="https://bio-kompleks.ru/catalog/vsya_produktsiya/ultramag_kaltsiy_dlya_plodov_amp_10_ml/" TargetMode="External"/><Relationship Id="rId190" Type="http://schemas.openxmlformats.org/officeDocument/2006/relationships/hyperlink" Target="https://organic-mix.ru/catalog/antivershinka/" TargetMode="External"/><Relationship Id="rId191" Type="http://schemas.openxmlformats.org/officeDocument/2006/relationships/hyperlink" Target="https://www.bashinkom.ru/products/avz/BioneksKemiZHidkiyNCa710" TargetMode="External"/><Relationship Id="rId192" Type="http://schemas.openxmlformats.org/officeDocument/2006/relationships/hyperlink" Target="https://www.bashinkom.ru/products/ojz/BogatyyMikroKaltsiy1" TargetMode="External"/><Relationship Id="rId193" Type="http://schemas.openxmlformats.org/officeDocument/2006/relationships/hyperlink" Target="https://bio-kompleks.ru/catalog/vsya_produktsiya/ultramag_khelat_zheleza_ot_pozhelteniya_listev_paket_10_g/" TargetMode="External"/><Relationship Id="rId194" Type="http://schemas.openxmlformats.org/officeDocument/2006/relationships/hyperlink" Target="https://organic-mix.ru/catalog/antikhlorozin/" TargetMode="External"/><Relationship Id="rId195" Type="http://schemas.openxmlformats.org/officeDocument/2006/relationships/hyperlink" Target="https://www.bashinkom.ru/products/avz/BiopolimikFe" TargetMode="External"/><Relationship Id="rId196" Type="http://schemas.openxmlformats.org/officeDocument/2006/relationships/hyperlink" Target="https://www.bashinkom.ru/products/ojz/BOGATYYMIKROZHelezoFe2mikroelementy100ml" TargetMode="External"/><Relationship Id="rId197" Type="http://schemas.openxmlformats.org/officeDocument/2006/relationships/hyperlink" Target="https://organic-mix.ru/catalog/magniy-organicheskiy-350-gr-organiks-miks/" TargetMode="External"/><Relationship Id="rId198" Type="http://schemas.openxmlformats.org/officeDocument/2006/relationships/hyperlink" Target="https://www.bashinkom.ru/products/avz/BashpolimikNSMg" TargetMode="External"/><Relationship Id="rId199" Type="http://schemas.openxmlformats.org/officeDocument/2006/relationships/hyperlink" Target="https://www.bashinkom.ru/products/ojz/ZelyenoekhelatnoeudobrenieBogatyyMikroMagniy1" TargetMode="External"/><Relationship Id="rId200" Type="http://schemas.openxmlformats.org/officeDocument/2006/relationships/hyperlink" Target="https://bio-kompleks.ru/catalog/vsya_produktsiya/ultramag_khelat_medi_ot_skruchivaniya_listev_paket_10_g/" TargetMode="External"/><Relationship Id="rId201" Type="http://schemas.openxmlformats.org/officeDocument/2006/relationships/hyperlink" Target="https://bio-kompleks.ru/catalog/vsya_produktsiya/ultramag_khelat_tsinka_ot_pyatnistosti_listev_paket_10_g/" TargetMode="External"/><Relationship Id="rId202" Type="http://schemas.openxmlformats.org/officeDocument/2006/relationships/hyperlink" Target="https://www.bashinkom.ru/products/avz/BIOPOLIMIKCu" TargetMode="External"/><Relationship Id="rId203" Type="http://schemas.openxmlformats.org/officeDocument/2006/relationships/hyperlink" Target="https://www.bashinkom.ru/products/avz/BiopolimikCuZn" TargetMode="External"/><Relationship Id="rId204" Type="http://schemas.openxmlformats.org/officeDocument/2006/relationships/hyperlink" Target="https://www.bashinkom.ru/products/avz/BIOPOLIMIKZn" TargetMode="External"/><Relationship Id="rId205" Type="http://schemas.openxmlformats.org/officeDocument/2006/relationships/hyperlink" Target="https://www.bashinkom.ru/products/ojz/BOGATYYMIKROMedCu1mikroelementy100ml" TargetMode="External"/><Relationship Id="rId206" Type="http://schemas.openxmlformats.org/officeDocument/2006/relationships/hyperlink" Target="https://www.bashinkom.ru/products/ojz/BOGATYYMIKROTSinkZn1MedCu1mikroelementy100ml" TargetMode="External"/><Relationship Id="rId207" Type="http://schemas.openxmlformats.org/officeDocument/2006/relationships/hyperlink" Target="https://www.bashinkom.ru/products/avz/BorogumMMednoTSinkovyy" TargetMode="External"/><Relationship Id="rId208" Type="http://schemas.openxmlformats.org/officeDocument/2006/relationships/hyperlink" Target="https://bio-kompleks.ru/catalog/vsya_produktsiya/bio_kompleks_superkaltsiy_raskislitel_kaltsievo_magnievoe_udobrenie/" TargetMode="External"/><Relationship Id="rId209" Type="http://schemas.openxmlformats.org/officeDocument/2006/relationships/hyperlink" Target="https://www.bashinkom.ru/products/ojz/RaskislitelIZVESTGUMIsborom10kg" TargetMode="External"/><Relationship Id="rId210" Type="http://schemas.openxmlformats.org/officeDocument/2006/relationships/hyperlink" Target="https://www.bashinkom.ru/products/ojz/RaskislitelIZVESTGUMIsboromorganomineralnoeudobrenie2kg" TargetMode="External"/><Relationship Id="rId211" Type="http://schemas.openxmlformats.org/officeDocument/2006/relationships/hyperlink" Target="https://organic-mix.ru/catalog/kislon-dlya-kislolyubivykh-rasteniy/" TargetMode="External"/><Relationship Id="rId212" Type="http://schemas.openxmlformats.org/officeDocument/2006/relationships/hyperlink" Target="https://www.bashinkom.ru/products/avz/RegulyatorkislotnostiRaduzhnyy" TargetMode="External"/><Relationship Id="rId213" Type="http://schemas.openxmlformats.org/officeDocument/2006/relationships/hyperlink" Target="https://www.bashinkom.ru/products/ojz/FitoKislinka02l" TargetMode="External"/><Relationship Id="rId214" Type="http://schemas.openxmlformats.org/officeDocument/2006/relationships/hyperlink" Target="https://bio-kompleks.ru/catalog/vsya_produktsiya/bio_kompleks_udobrenie_organicheskoe_morskoe_assorti_tm_udobryasha/" TargetMode="External"/><Relationship Id="rId215" Type="http://schemas.openxmlformats.org/officeDocument/2006/relationships/hyperlink" Target="https://organic-mix.ru/catalog/morskoy-kokteyl-sukhoy-7-kg-vedro-organik-miks/" TargetMode="External"/><Relationship Id="rId216" Type="http://schemas.openxmlformats.org/officeDocument/2006/relationships/hyperlink" Target="https://bio-kompleks.ru/catalog/vsya_produktsiya/bio_kompleks_suspenziya_khlorelly_kontsentrat/" TargetMode="External"/><Relationship Id="rId217" Type="http://schemas.openxmlformats.org/officeDocument/2006/relationships/hyperlink" Target="https://bio-kompleks.ru/catalog/vsya_produktsiya/bio_kompleks_ekstrakt_kedra_/" TargetMode="External"/><Relationship Id="rId218" Type="http://schemas.openxmlformats.org/officeDocument/2006/relationships/hyperlink" Target="https://bio-kompleks.ru/catalog/vsya_produktsiya/bio_kompleks_ekstrakt_khvoi_/" TargetMode="External"/><Relationship Id="rId219" Type="http://schemas.openxmlformats.org/officeDocument/2006/relationships/hyperlink" Target="https://bio-kompleks.ru/catalog/vsya_produktsiya/bio_kompleks_rostobion/" TargetMode="External"/><Relationship Id="rId220" Type="http://schemas.openxmlformats.org/officeDocument/2006/relationships/hyperlink" Target="https://organic-mix.ru/catalog/muka-iz-vodorosley-organik-miks-850-gr/" TargetMode="External"/><Relationship Id="rId221" Type="http://schemas.openxmlformats.org/officeDocument/2006/relationships/hyperlink" Target="https://organic-mix.ru/catalog/biotonus-banochka-50-gr-organik-miks/" TargetMode="External"/><Relationship Id="rId222" Type="http://schemas.openxmlformats.org/officeDocument/2006/relationships/hyperlink" Target="https://organic-mix.ru/catalog/fishenerdzhi-30-gr-organik-miks-/" TargetMode="External"/><Relationship Id="rId223" Type="http://schemas.openxmlformats.org/officeDocument/2006/relationships/hyperlink" Target="https://bio-kompleks.ru/catalog/vsya_produktsiya/bio_kompleks_krovyanaya_muka/" TargetMode="External"/><Relationship Id="rId224" Type="http://schemas.openxmlformats.org/officeDocument/2006/relationships/hyperlink" Target="https://organic-mix.ru/catalog/krovyanaya-muka/" TargetMode="External"/><Relationship Id="rId225" Type="http://schemas.openxmlformats.org/officeDocument/2006/relationships/hyperlink" Target="https://organic-mix.ru/catalog/lenivyy-azot-750-gr-organik-miks/" TargetMode="External"/><Relationship Id="rId226" Type="http://schemas.openxmlformats.org/officeDocument/2006/relationships/hyperlink" Target="https://organic-mix.ru/catalog/rogokopytnyy-shrot/" TargetMode="External"/><Relationship Id="rId227" Type="http://schemas.openxmlformats.org/officeDocument/2006/relationships/hyperlink" Target="https://organic-mix.ru/catalog/kukaruka-organik-miks-7-kg-vedro/" TargetMode="External"/><Relationship Id="rId228" Type="http://schemas.openxmlformats.org/officeDocument/2006/relationships/hyperlink" Target="https://www.bashinkom.ru/products/avz/BioneksKemiRastvorimyy2402712" TargetMode="External"/><Relationship Id="rId229" Type="http://schemas.openxmlformats.org/officeDocument/2006/relationships/hyperlink" Target="https://www.bashinkom.ru/products/avz/BioneksKemiZHidkiy2144ME" TargetMode="External"/><Relationship Id="rId230" Type="http://schemas.openxmlformats.org/officeDocument/2006/relationships/hyperlink" Target="https://www.bashinkom.ru/products/avz/BioneksKemiRastvorimyy4015207" TargetMode="External"/><Relationship Id="rId231" Type="http://schemas.openxmlformats.org/officeDocument/2006/relationships/hyperlink" Target="https://www.bashinkom.ru/products/avz/BioneksKemiRastvorimyy35115076" TargetMode="External"/><Relationship Id="rId232" Type="http://schemas.openxmlformats.org/officeDocument/2006/relationships/hyperlink" Target="https://www.bashinkom.ru/products/ojz/AZOTMOCHEVINAGUMIOMI05kg" TargetMode="External"/><Relationship Id="rId233" Type="http://schemas.openxmlformats.org/officeDocument/2006/relationships/hyperlink" Target="https://bio-kompleks.ru/catalog/vsya_produktsiya/bio_kompleks_kostnaya_muka/" TargetMode="External"/><Relationship Id="rId234" Type="http://schemas.openxmlformats.org/officeDocument/2006/relationships/hyperlink" Target="https://bio-kompleks.ru/catalog/vsya_produktsiya/bio_kompleks_fosforitnaya_muka/" TargetMode="External"/><Relationship Id="rId235" Type="http://schemas.openxmlformats.org/officeDocument/2006/relationships/hyperlink" Target="https://organic-mix.ru/catalog/kostnaya-muka-organik-miks-2-8-kg/" TargetMode="External"/><Relationship Id="rId236" Type="http://schemas.openxmlformats.org/officeDocument/2006/relationships/hyperlink" Target="https://www.bashinkom.ru/products/avz/BioneksKemiRastvorimyy2402712" TargetMode="External"/><Relationship Id="rId237" Type="http://schemas.openxmlformats.org/officeDocument/2006/relationships/hyperlink" Target="https://www.bashinkom.ru/products/avz/BioneksKemiZHidkiy10300ME" TargetMode="External"/><Relationship Id="rId238" Type="http://schemas.openxmlformats.org/officeDocument/2006/relationships/hyperlink" Target="https://www.bashinkom.ru/products/ojz/FOSFORSUPERFOSFATGUMIOMI05kg" TargetMode="External"/><Relationship Id="rId239" Type="http://schemas.openxmlformats.org/officeDocument/2006/relationships/hyperlink" Target="https://bio-kompleks.ru/catalog/vsya_produktsiya/bio_kompleks_zola_podsolnechnika/" TargetMode="External"/><Relationship Id="rId240" Type="http://schemas.openxmlformats.org/officeDocument/2006/relationships/hyperlink" Target="https://www.bashinkom.ru/products/ojz/KALIYSULFATKALIYAGUMIOMI05kg" TargetMode="External"/><Relationship Id="rId241" Type="http://schemas.openxmlformats.org/officeDocument/2006/relationships/hyperlink" Target="https://organic-mix.ru/catalog/prilipayka-organicheskiy-prilipatel-100-ml/" TargetMode="External"/><Relationship Id="rId242" Type="http://schemas.openxmlformats.org/officeDocument/2006/relationships/hyperlink" Target="https://organic-mix.ru/catalog/prilipayka-v-ampule-organicheskiy-bioprilipatel-rastekatel-1-ml/" TargetMode="External"/><Relationship Id="rId243" Type="http://schemas.openxmlformats.org/officeDocument/2006/relationships/hyperlink" Target="https://www.bashinkom.ru/products/avz/Biolipostim" TargetMode="External"/><Relationship Id="rId244" Type="http://schemas.openxmlformats.org/officeDocument/2006/relationships/hyperlink" Target="https://www.bashinkom.ru/products/ojz/BioprilipatelBiolipostim" TargetMode="External"/><Relationship Id="rId245" Type="http://schemas.openxmlformats.org/officeDocument/2006/relationships/hyperlink" Target="https://www.bashinkom.ru/products/prodecor/BioPrilipatelBiolipostim-prodecor" TargetMode="External"/><Relationship Id="rId246" Type="http://schemas.openxmlformats.org/officeDocument/2006/relationships/hyperlink" Target="https://www.bashinkom.ru/products/avz/KrasAdyuv" TargetMode="External"/><Relationship Id="rId247" Type="http://schemas.openxmlformats.org/officeDocument/2006/relationships/hyperlink" Target="https://bio-kompleks.ru/catalog/vsya_produktsiya/bio_kompleks_donor_udobrenie_so_svoystvami_fungitsida/" TargetMode="External"/><Relationship Id="rId248" Type="http://schemas.openxmlformats.org/officeDocument/2006/relationships/hyperlink" Target="https://bio-kompleks.ru/catalog/vsya_produktsiya/bio_kompleks_serebromedin_/" TargetMode="External"/><Relationship Id="rId249" Type="http://schemas.openxmlformats.org/officeDocument/2006/relationships/hyperlink" Target="https://bio-kompleks.ru/catalog/vsya_produktsiya/indigo_ks_ot_bolezney_plodovykh_i_vinograda_profilakt/" TargetMode="External"/><Relationship Id="rId250" Type="http://schemas.openxmlformats.org/officeDocument/2006/relationships/hyperlink" Target="https://bio-kompleks.ru/catalog/vsya_produktsiya/medeya_me_ot_bolezney_sadov_i_vinogradnikov/" TargetMode="External"/><Relationship Id="rId251" Type="http://schemas.openxmlformats.org/officeDocument/2006/relationships/hyperlink" Target="https://bio-kompleks.ru/catalog/vsya_produktsiya/shirma_ks_ot_bolezney_kartofelya_yabloni_i_vinograda/" TargetMode="External"/><Relationship Id="rId252" Type="http://schemas.openxmlformats.org/officeDocument/2006/relationships/hyperlink" Target="https://organic-mix.ru/catalog/biozashchitin-v-ampule-organicheskoe-sredstvo-zashchity-rasteniy-3-v-1-5-ml/" TargetMode="External"/><Relationship Id="rId253" Type="http://schemas.openxmlformats.org/officeDocument/2006/relationships/hyperlink" Target="https://organic-mix.ru/catalog/muchnistop-sprey-ot-muchnistoy-rosy-1-l-organik-miks/" TargetMode="External"/><Relationship Id="rId254" Type="http://schemas.openxmlformats.org/officeDocument/2006/relationships/hyperlink" Target="https://www.bashinkom.ru/products/ojz/AntiGnilPoroshokFitosporinMP" TargetMode="External"/><Relationship Id="rId255" Type="http://schemas.openxmlformats.org/officeDocument/2006/relationships/hyperlink" Target="https://www.bashinkom.ru/products/ojz/AntiGnilPoroshokFitosporinMP30g" TargetMode="External"/><Relationship Id="rId256" Type="http://schemas.openxmlformats.org/officeDocument/2006/relationships/hyperlink" Target="https://www.bashinkom.ru/products/ojz/BiofungitsidFitosporinASpasta50g" TargetMode="External"/><Relationship Id="rId257" Type="http://schemas.openxmlformats.org/officeDocument/2006/relationships/hyperlink" Target="https://www.bashinkom.ru/products/ojz/Trikhodermiks-mini" TargetMode="External"/><Relationship Id="rId258" Type="http://schemas.openxmlformats.org/officeDocument/2006/relationships/hyperlink" Target="https://www.bashinkom.ru/products/avz/Trikhodermiks" TargetMode="External"/><Relationship Id="rId259" Type="http://schemas.openxmlformats.org/officeDocument/2006/relationships/hyperlink" Target="https://www.bashinkom.ru/products/prodecor/Trikhodermiks-prodecor" TargetMode="External"/><Relationship Id="rId260" Type="http://schemas.openxmlformats.org/officeDocument/2006/relationships/hyperlink" Target="https://www.bashinkom.ru/products/ojz/FistoporinMTomatybystrorastvorimyy100g" TargetMode="External"/><Relationship Id="rId261" Type="http://schemas.openxmlformats.org/officeDocument/2006/relationships/hyperlink" Target="https://www.bashinkom.ru/products/ojz/FitosporinProBio05l" TargetMode="External"/><Relationship Id="rId262" Type="http://schemas.openxmlformats.org/officeDocument/2006/relationships/hyperlink" Target="https://www.bashinkom.ru/products/ojz/FitosporinProBio01l" TargetMode="External"/><Relationship Id="rId263" Type="http://schemas.openxmlformats.org/officeDocument/2006/relationships/hyperlink" Target="https://www.bashinkom.ru/products/avz/FitosporinMZH" TargetMode="External"/><Relationship Id="rId264" Type="http://schemas.openxmlformats.org/officeDocument/2006/relationships/hyperlink" Target="https://www.bashinkom.ru/products/ojz/FitosporinMOGURTSY10g" TargetMode="External"/><Relationship Id="rId265" Type="http://schemas.openxmlformats.org/officeDocument/2006/relationships/hyperlink" Target="https://www.bashinkom.ru/products/ojz/FitosporinAS05l" TargetMode="External"/><Relationship Id="rId266" Type="http://schemas.openxmlformats.org/officeDocument/2006/relationships/hyperlink" Target="https://www.bashinkom.ru/products/avz/FitosporinMZHASaminokisloty" TargetMode="External"/><Relationship Id="rId267" Type="http://schemas.openxmlformats.org/officeDocument/2006/relationships/hyperlink" Target="https://www.bashinkom.ru/products/prodecor/FitosporinMAS" TargetMode="External"/><Relationship Id="rId268" Type="http://schemas.openxmlformats.org/officeDocument/2006/relationships/hyperlink" Target="https://www.bashinkom.ru/products/ojz/FitosporinMZOLOTAYAOSEN02l" TargetMode="External"/><Relationship Id="rId269" Type="http://schemas.openxmlformats.org/officeDocument/2006/relationships/hyperlink" Target="https://www.bashinkom.ru/products/ojz/FitosporinMKAPUSTA10g" TargetMode="External"/><Relationship Id="rId270" Type="http://schemas.openxmlformats.org/officeDocument/2006/relationships/hyperlink" Target="https://www.bashinkom.ru/products/ojz/FitosporinMKARTOFEL30g" TargetMode="External"/><Relationship Id="rId271" Type="http://schemas.openxmlformats.org/officeDocument/2006/relationships/hyperlink" Target="https://www.bashinkom.ru/products/ojz/FitosporinMKARTOFELBYSTRORASTVORIMYY100g" TargetMode="External"/><Relationship Id="rId272" Type="http://schemas.openxmlformats.org/officeDocument/2006/relationships/hyperlink" Target="https://www.bashinkom.ru/products/ojz/FitosporinMRASSADAOVOSHCHIYAGODYPLODOVYE110ml" TargetMode="External"/><Relationship Id="rId273" Type="http://schemas.openxmlformats.org/officeDocument/2006/relationships/hyperlink" Target="https://www.bashinkom.ru/products/ojz/FitosporinMReanimatoR02l" TargetMode="External"/><Relationship Id="rId274" Type="http://schemas.openxmlformats.org/officeDocument/2006/relationships/hyperlink" Target="https://www.bashinkom.ru/products/ojz/FitosporinMSADOVYETSVETY30g" TargetMode="External"/><Relationship Id="rId275" Type="http://schemas.openxmlformats.org/officeDocument/2006/relationships/hyperlink" Target="https://www.bashinkom.ru/products/ojz/FitosporinMSUPERUNIVERSALBYSTRORASTVORIMYY100g" TargetMode="External"/><Relationship Id="rId276" Type="http://schemas.openxmlformats.org/officeDocument/2006/relationships/hyperlink" Target="https://www.bashinkom.ru/products/ojz/FitosporinMTomat10g" TargetMode="External"/><Relationship Id="rId277" Type="http://schemas.openxmlformats.org/officeDocument/2006/relationships/hyperlink" Target="https://www.bashinkom.ru/products/ojz/FitosporinMUNIVERSALNYY10g" TargetMode="External"/><Relationship Id="rId278" Type="http://schemas.openxmlformats.org/officeDocument/2006/relationships/hyperlink" Target="https://www.bashinkom.ru/products/ojz/FitosporinMUNIVERSALNYY200g" TargetMode="External"/><Relationship Id="rId279" Type="http://schemas.openxmlformats.org/officeDocument/2006/relationships/hyperlink" Target="https://www.bashinkom.ru/products/ojz/FitosporinMTSVETY110ml" TargetMode="External"/><Relationship Id="rId280" Type="http://schemas.openxmlformats.org/officeDocument/2006/relationships/hyperlink" Target="https://www.bashinkom.ru/products/ojz/OlimpiyskiyFitosporinKnanogel90elementovimineralov200g" TargetMode="External"/><Relationship Id="rId281" Type="http://schemas.openxmlformats.org/officeDocument/2006/relationships/hyperlink" Target="https://www.bashinkom.ru/products/avz/FitosporinMZHFungiBakteritsid" TargetMode="External"/><Relationship Id="rId282" Type="http://schemas.openxmlformats.org/officeDocument/2006/relationships/hyperlink" Target="https://www.bashinkom.ru/products/avz/FitosporinMZHKHranenie" TargetMode="External"/><Relationship Id="rId283" Type="http://schemas.openxmlformats.org/officeDocument/2006/relationships/hyperlink" Target="https://www.bashinkom.ru/products/avz/FitosporinMZHEKSTRA" TargetMode="External"/><Relationship Id="rId284" Type="http://schemas.openxmlformats.org/officeDocument/2006/relationships/hyperlink" Target="https://www.bashinkom.ru/products/avz/FitosporinMP" TargetMode="External"/><Relationship Id="rId285" Type="http://schemas.openxmlformats.org/officeDocument/2006/relationships/hyperlink" Target="https://bio-kompleks.ru/catalog/vsya_produktsiya/stopulit_g_ot_slizney_ulitok/" TargetMode="External"/><Relationship Id="rId286" Type="http://schemas.openxmlformats.org/officeDocument/2006/relationships/hyperlink" Target="https://organic-mix.ru/catalog/stopsliznyak-ot-slizney-650-gr/" TargetMode="External"/><Relationship Id="rId287" Type="http://schemas.openxmlformats.org/officeDocument/2006/relationships/hyperlink" Target="https://bio-kompleks.ru/catalog/vsya_produktsiya/muragon_ot_muravev_4g_/" TargetMode="External"/><Relationship Id="rId288" Type="http://schemas.openxmlformats.org/officeDocument/2006/relationships/hyperlink" Target="https://bio-kompleks.ru/catalog/vsya_produktsiya/muragon_ot_muravev_sadovykh_i_domashnikh_paket_4_g/" TargetMode="External"/><Relationship Id="rId289" Type="http://schemas.openxmlformats.org/officeDocument/2006/relationships/hyperlink" Target="https://organic-mix.ru/catalog/bey-muravey-ot-organik-miks-60-gr-/" TargetMode="External"/><Relationship Id="rId290" Type="http://schemas.openxmlformats.org/officeDocument/2006/relationships/hyperlink" Target="https://www.bashinkom.ru/products/ojz/SuperKyshMuravey03kg" TargetMode="External"/><Relationship Id="rId291" Type="http://schemas.openxmlformats.org/officeDocument/2006/relationships/hyperlink" Target="https://bio-kompleks.ru/catalog/vsya_produktsiya/dachnyy_pomoshchnik_dlya_septikov_i_vygrebnykh_yam_maksimum/" TargetMode="External"/><Relationship Id="rId292" Type="http://schemas.openxmlformats.org/officeDocument/2006/relationships/hyperlink" Target="https://bio-kompleks.ru/catalog/vsya_produktsiya/dachnyy_pomoshchnik_sredstvo_dlya_biotualetov_nizhniy_bak/" TargetMode="External"/><Relationship Id="rId293" Type="http://schemas.openxmlformats.org/officeDocument/2006/relationships/hyperlink" Target="https://bio-kompleks.ru/catalog/vsya_produktsiya/dachnyy_pomoshchnik_sredstvo_dlya_dachnykh_tualetov_i_vygrebnykh_yam/" TargetMode="External"/><Relationship Id="rId294" Type="http://schemas.openxmlformats.org/officeDocument/2006/relationships/hyperlink" Target="https://bio-kompleks.ru/catalog/vsya_produktsiya/dachnyy_pomoshchnik_sredstvo_dlya_septikov/" TargetMode="External"/><Relationship Id="rId295" Type="http://schemas.openxmlformats.org/officeDocument/2006/relationships/hyperlink" Target="https://5-sezonov.ru/" TargetMode="External"/><Relationship Id="rId296" Type="http://schemas.openxmlformats.org/officeDocument/2006/relationships/hyperlink" Target="https://www.bashinkom.ru/products/ojz/Gorynychbinarnyybiopreparatdlyatualetovivygrebnykhyam" TargetMode="External"/><Relationship Id="rId297" Type="http://schemas.openxmlformats.org/officeDocument/2006/relationships/hyperlink" Target="https://www.bashinkom.ru/products/ojz/Udachnyybiopreparatdlyatualetovivygrebnykhyam30g" TargetMode="External"/><Relationship Id="rId298" Type="http://schemas.openxmlformats.org/officeDocument/2006/relationships/hyperlink" Target="https://www.bashinkom.ru/products/ojz/KHozyainSeptika50g" TargetMode="External"/><Relationship Id="rId299" Type="http://schemas.openxmlformats.org/officeDocument/2006/relationships/hyperlink" Target="https://bio-kompleks.ru/catalog/vsya_produktsiya/dachnyy_pomoshchnik_sredstvo_dlya_moyki_teplits_kontsentrat/" TargetMode="External"/><Relationship Id="rId300" Type="http://schemas.openxmlformats.org/officeDocument/2006/relationships/hyperlink" Target="https://organic-mix.ru/catalog/biosanitarin-dlya-sadovogo-instrumenta-100-ml/" TargetMode="External"/><Relationship Id="rId301" Type="http://schemas.openxmlformats.org/officeDocument/2006/relationships/hyperlink" Target="https://organic-mix.ru/catalog/biosanitarin-dlya-teplits-i-inventarya-500-ml/" TargetMode="External"/><Relationship Id="rId302" Type="http://schemas.openxmlformats.org/officeDocument/2006/relationships/hyperlink" Target="https://bio-kompleks.ru/catalog/vsya_produktsiya/bio_kompleks_tm_listoriya_vinograd_professionalnoe_mineralnoe_udobrenie_npk_0_40_25/" TargetMode="External"/><Relationship Id="rId303" Type="http://schemas.openxmlformats.org/officeDocument/2006/relationships/hyperlink" Target="https://bio-kompleks.ru/catalog/vsya_produktsiya/bio_kompleks_tm_listoriya_gazon_professionalnoe_mineralnoe_udobrenie_npk_19_19_19/" TargetMode="External"/><Relationship Id="rId304" Type="http://schemas.openxmlformats.org/officeDocument/2006/relationships/hyperlink" Target="https://bio-kompleks.ru/catalog/vsya_produktsiya/bio_kompleks_tm_listoriya_ovoshchi_professionalnoe_mineralnoe_udobrenie_npk_6_18_37/" TargetMode="External"/><Relationship Id="rId305" Type="http://schemas.openxmlformats.org/officeDocument/2006/relationships/hyperlink" Target="https://bio-kompleks.ru/catalog/vsya_produktsiya/bio_kompleks_tm_listoriya_osen_professionalnoe_mineralnoe_udobrenie_npk_0_36_24/" TargetMode="External"/><Relationship Id="rId306" Type="http://schemas.openxmlformats.org/officeDocument/2006/relationships/hyperlink" Target="https://bio-kompleks.ru/catalog/vsya_produktsiya/bio_kompleks_tm_listoriya_plody/" TargetMode="External"/><Relationship Id="rId307" Type="http://schemas.openxmlformats.org/officeDocument/2006/relationships/hyperlink" Target="https://bio-kompleks.ru/catalog/vsya_produktsiya/bio_kompleks_tm_listoriya_rassada/" TargetMode="External"/><Relationship Id="rId308" Type="http://schemas.openxmlformats.org/officeDocument/2006/relationships/hyperlink" Target="https://bio-kompleks.ru/catalog/vsya_produktsiya/bio_kompleks_tm_listoriya_tomat/" TargetMode="External"/><Relationship Id="rId309" Type="http://schemas.openxmlformats.org/officeDocument/2006/relationships/hyperlink" Target="https://bio-kompleks.ru/catalog/vsya_produktsiya/bio_kompleks_tm_listoriya_universalnoe_professionalnoe_mineralnoe_udobrenie_npk_19_19_19/" TargetMode="External"/><Relationship Id="rId310" Type="http://schemas.openxmlformats.org/officeDocument/2006/relationships/hyperlink" Target="https://bio-kompleks.ru/catalog/vsya_produktsiya/bio_kompleks_tm_listoriya_khvoynye_vechnozelyenye/" TargetMode="External"/><Relationship Id="rId311" Type="http://schemas.openxmlformats.org/officeDocument/2006/relationships/hyperlink" Target="https://bio-kompleks.ru/catalog/vsya_produktsiya/bio_kompleks_tm_listoriya_tsvety/" TargetMode="External"/><Relationship Id="rId312" Type="http://schemas.openxmlformats.org/officeDocument/2006/relationships/hyperlink" Target="https://bio-kompleks.ru/catalog/vsya_produktsiya/bio_kompleks_tm_listoriya_yagody/" TargetMode="External"/><Relationship Id="rId313" Type="http://schemas.openxmlformats.org/officeDocument/2006/relationships/hyperlink" Target="https://bio-kompleks.ru/catalog/vsya_produktsiya/nutrivant-plyus-vinograd-npk-0-40-25-professionalnoe-kompleksnoe-udobrenie/" TargetMode="External"/><Relationship Id="rId314" Type="http://schemas.openxmlformats.org/officeDocument/2006/relationships/hyperlink" Target="https://bio-kompleks.ru/catalog/vsya_produktsiya/nutrivant-plyus-ovoshchnoy-npk-6-18-37-professionalnoe-kompleksnoe-udobrenie/" TargetMode="External"/><Relationship Id="rId315" Type="http://schemas.openxmlformats.org/officeDocument/2006/relationships/hyperlink" Target="https://bio-kompleks.ru/catalog/vsya_produktsiya/nutrivant-plyus-plody-tsvety-yunikrop-npk-0-36-24-professionalnoe-kompleksnoe-udobrenie/" TargetMode="External"/><Relationship Id="rId316" Type="http://schemas.openxmlformats.org/officeDocument/2006/relationships/hyperlink" Target="https://bio-kompleks.ru/catalog/vsya_produktsiya/nutrivant-plyus-tomat-npk-6-18-37-professionalnoe-kompleksnoe-udobrenie/" TargetMode="External"/><Relationship Id="rId317" Type="http://schemas.openxmlformats.org/officeDocument/2006/relationships/hyperlink" Target="https://bio-kompleks.ru/catalog/vsya_produktsiya/nutrivant-plyus-universalnyy-npk-19-19-19-professionalnoe-kompleksnoe-udobrenie/" TargetMode="External"/><Relationship Id="rId318" Type="http://schemas.openxmlformats.org/officeDocument/2006/relationships/hyperlink" Target="https://bio-kompleks.ru/catalog/vsya_produktsiya/nutrivant-plyus-khvoynye-vechnozelyenye-npk-0-36-24-professionalnoe-kompleksnoe-udobrenie/" TargetMode="External"/><Relationship Id="rId319" Type="http://schemas.openxmlformats.org/officeDocument/2006/relationships/hyperlink" Target="https://bio-kompleks.ru/catalog/vsya_produktsiya/nutrivant-plyus-tsvety-npk-19-19-19-professionalnoe-kompleksnoe-udobrenie/" TargetMode="External"/><Relationship Id="rId320" Type="http://schemas.openxmlformats.org/officeDocument/2006/relationships/hyperlink" Target="https://bio-kompleks.ru/catalog/vsya_produktsiya/nutrivant-plyus-yagodnyy-npk-12-5-27-professionalnoe-kompleksnoe-udobrenie/" TargetMode="External"/><Relationship Id="rId321" Type="http://schemas.openxmlformats.org/officeDocument/2006/relationships/hyperlink" Target="https://www.bashinkom.ru/products/avz/BioneksKemiRastvorimyy1401620" TargetMode="External"/><Relationship Id="rId322" Type="http://schemas.openxmlformats.org/officeDocument/2006/relationships/hyperlink" Target="https://www.bashinkom.ru/products/avz/BioneksKemiRastvorimyy2402712" TargetMode="External"/><Relationship Id="rId323" Type="http://schemas.openxmlformats.org/officeDocument/2006/relationships/hyperlink" Target="https://www.bashinkom.ru/products/avz/BioneksKemiRastvorimyy18181811" TargetMode="External"/><Relationship Id="rId324" Type="http://schemas.openxmlformats.org/officeDocument/2006/relationships/hyperlink" Target="https://www.bashinkom.ru/products/avz/BioneksKemiRastvorimyy" TargetMode="External"/><Relationship Id="rId325" Type="http://schemas.openxmlformats.org/officeDocument/2006/relationships/hyperlink" Target="https://www.bashinkom.ru/products/avz/BioneksKemiRastvorimyy15112512" TargetMode="External"/><Relationship Id="rId326" Type="http://schemas.openxmlformats.org/officeDocument/2006/relationships/hyperlink" Target="https://www.bashinkom.ru/products/avz/BioneksKemiZHidkiyNCa710" TargetMode="External"/><Relationship Id="rId327" Type="http://schemas.openxmlformats.org/officeDocument/2006/relationships/hyperlink" Target="https://www.bashinkom.ru/products/avz/BioneksKemiZHidkiy01820ME" TargetMode="External"/><Relationship Id="rId328" Type="http://schemas.openxmlformats.org/officeDocument/2006/relationships/hyperlink" Target="https://www.bashinkom.ru/products/avz/BioneksKemiZHidkiy101010ME" TargetMode="External"/><Relationship Id="rId329" Type="http://schemas.openxmlformats.org/officeDocument/2006/relationships/hyperlink" Target="https://www.bashinkom.ru/products/avz/BioneksKemiZHidkiy10300ME" TargetMode="External"/><Relationship Id="rId330" Type="http://schemas.openxmlformats.org/officeDocument/2006/relationships/hyperlink" Target="https://www.bashinkom.ru/products/avz/BioneksKemiZHidkiy1578ME" TargetMode="External"/><Relationship Id="rId331" Type="http://schemas.openxmlformats.org/officeDocument/2006/relationships/hyperlink" Target="https://www.bashinkom.ru/products/avz/BioneksKemiZHidkiy2144ME" TargetMode="External"/><Relationship Id="rId332" Type="http://schemas.openxmlformats.org/officeDocument/2006/relationships/hyperlink" Target="https://www.bashinkom.ru/products/avz/BioneksKemiRastvorimyy4015207" TargetMode="External"/><Relationship Id="rId333" Type="http://schemas.openxmlformats.org/officeDocument/2006/relationships/hyperlink" Target="https://www.bashinkom.ru/products/avz/BioneksKemiRastvorimyy35115076" TargetMode="External"/><Relationship Id="rId334" Type="http://schemas.openxmlformats.org/officeDocument/2006/relationships/hyperlink" Target="https://www.bashinkom.ru/products/avz/BogatyyNPK569KaliynyyME" TargetMode="External"/><Relationship Id="rId335" Type="http://schemas.openxmlformats.org/officeDocument/2006/relationships/hyperlink" Target="https://www.bashinkom.ru/products/avz/BogatyyNPK848KaliynyyME" TargetMode="External"/><Relationship Id="rId336" Type="http://schemas.openxmlformats.org/officeDocument/2006/relationships/hyperlink" Target="https://www.bashinkom.ru/products/prodecor/KompleksnoeudobrenieszelenymkhelatoromBIYAKBionekskemiUniversalnyy" TargetMode="External"/><Relationship Id="rId337" Type="http://schemas.openxmlformats.org/officeDocument/2006/relationships/hyperlink" Target="https://www.bashinkom.ru/products/ojz/KompleksnoeuniversalnoeudobreniedlyavsekhsadovoogorodnykhkulturBioneksKemi18181811200g" TargetMode="External"/><Relationship Id="rId338" Type="http://schemas.openxmlformats.org/officeDocument/2006/relationships/hyperlink" Target="https://www.bashinkom.ru/products/ojz/KompleksnoeuniversalnoeudobreniedlyakomnatnykhrasteniyBioneksKemivodorastvorimyy50g" TargetMode="External"/><Relationship Id="rId339" Type="http://schemas.openxmlformats.org/officeDocument/2006/relationships/hyperlink" Target="https://bio-kompleks.ru/catalog/vsya_produktsiya/bio_kompleks_diatomit_sadovyy_/" TargetMode="External"/><Relationship Id="rId340" Type="http://schemas.openxmlformats.org/officeDocument/2006/relationships/hyperlink" Target="https://bio-kompleks.ru/catalog/vsya_produktsiya/bio_kompleks_tseolit/" TargetMode="External"/><Relationship Id="rId341" Type="http://schemas.openxmlformats.org/officeDocument/2006/relationships/hyperlink" Target="https://organic-mix.ru/catalog/akvaseyf-1-1-kg/" TargetMode="External"/><Relationship Id="rId342" Type="http://schemas.openxmlformats.org/officeDocument/2006/relationships/hyperlink" Target="https://organic-mix.ru/catalog/detokser-240-gr-organik-miks/" TargetMode="External"/><Relationship Id="rId343" Type="http://schemas.openxmlformats.org/officeDocument/2006/relationships/hyperlink" Target="https://organic-mix.ru/catalog/razrykhlin-10-l-organik-miks-vedro-/" TargetMode="External"/><Relationship Id="rId344" Type="http://schemas.openxmlformats.org/officeDocument/2006/relationships/hyperlink" Target="https://organic-mix.ru/catalog/strukturin/" TargetMode="External"/><Relationship Id="rId345" Type="http://schemas.openxmlformats.org/officeDocument/2006/relationships/hyperlink" Target="https://www.bashinkom.ru/products/ojz/DRENAZHKERAMZITOVYYkrupnyy2l" TargetMode="External"/><Relationship Id="rId346" Type="http://schemas.openxmlformats.org/officeDocument/2006/relationships/hyperlink" Target="https://www.bashinkom.ru/products/ojz/DrenazhKeramzitovyysredniy1l" TargetMode="External"/><Relationship Id="rId347" Type="http://schemas.openxmlformats.org/officeDocument/2006/relationships/hyperlink" Target="https://www.bashinkom.ru/products/ojz/MULCHARAZRYKHLITELZemlyaMatushkachernozemnaya10l" TargetMode="External"/><Relationship Id="rId348" Type="http://schemas.openxmlformats.org/officeDocument/2006/relationships/hyperlink" Target="https://www.bashinkom.ru/products/ojz/RazrykhlitelozdoravlivayushchiyPukhoVitA5l" TargetMode="External"/><Relationship Id="rId349" Type="http://schemas.openxmlformats.org/officeDocument/2006/relationships/hyperlink" Target="https://www.bashinkom.ru/products/ojz/TeplorodPlodorod1kg" TargetMode="External"/><Relationship Id="rId350" Type="http://schemas.openxmlformats.org/officeDocument/2006/relationships/hyperlink" Target="https://organic-mix.ru/catalog/grunt-dlya-domashnego-ogoroda-40-l-organik-miks/" TargetMode="External"/><Relationship Id="rId351" Type="http://schemas.openxmlformats.org/officeDocument/2006/relationships/hyperlink" Target="https://organic-mix.ru/catalog/grunt-dlya-rassady-40-l-organik-miks/" TargetMode="External"/><Relationship Id="rId352" Type="http://schemas.openxmlformats.org/officeDocument/2006/relationships/hyperlink" Target="https://organic-mix.ru/catalog/grunt-dlya-semyan-i-cherenkov-4l/" TargetMode="External"/><Relationship Id="rId353" Type="http://schemas.openxmlformats.org/officeDocument/2006/relationships/hyperlink" Target="https://www.bashinkom.ru/products/ojz/ZemlyaMatushkadlyaBobovykh3l" TargetMode="External"/><Relationship Id="rId354" Type="http://schemas.openxmlformats.org/officeDocument/2006/relationships/hyperlink" Target="https://www.bashinkom.ru/products/ojz/SuperElita" TargetMode="External"/><Relationship Id="rId355" Type="http://schemas.openxmlformats.org/officeDocument/2006/relationships/hyperlink" Target="https://www.bashinkom.ru/products/ojz/ZemlyaMatushkaUniversalnayadlyarassadyzeleniitsvetov3l" TargetMode="External"/><Relationship Id="rId356" Type="http://schemas.openxmlformats.org/officeDocument/2006/relationships/hyperlink" Target="https://www.bashinkom.ru/products/ojz/ZemlyaMatushkaTSvetochnayaUniversalnaya3l" TargetMode="External"/><Relationship Id="rId357" Type="http://schemas.openxmlformats.org/officeDocument/2006/relationships/hyperlink" Target="https://www.bashinkom.ru/products/ojz/KaktusAloeZemlyaMatushkadlyakaktusovaloekalankhoeagavy3l" TargetMode="External"/><Relationship Id="rId358" Type="http://schemas.openxmlformats.org/officeDocument/2006/relationships/hyperlink" Target="https://www.bashinkom.ru/products/ojz/LianyZemlyaMatushkadlyaalokaziiaraliimonsterydiffebakhiisingoniuma3l" TargetMode="External"/><Relationship Id="rId359" Type="http://schemas.openxmlformats.org/officeDocument/2006/relationships/hyperlink" Target="https://www.bashinkom.ru/products/ojz/LimonMandarinZemlyaMatushkadlyalimonamandarinazhasminainzhirakofe3l" TargetMode="External"/><Relationship Id="rId360" Type="http://schemas.openxmlformats.org/officeDocument/2006/relationships/hyperlink" Target="https://www.bashinkom.ru/products/ojz/MULCHARAZRYKHLITELZemlyaMatushkachernozemnaya10l" TargetMode="External"/><Relationship Id="rId361" Type="http://schemas.openxmlformats.org/officeDocument/2006/relationships/hyperlink" Target="https://www.bashinkom.ru/products/ojz/MIKORIZIROVANNYYSUBSTRATDLYAVYRASHCHIVANIYARASTENIYSTRANAARKADIYADLYABROMELIEVYKH" TargetMode="External"/><Relationship Id="rId362" Type="http://schemas.openxmlformats.org/officeDocument/2006/relationships/hyperlink" Target="https://www.bashinkom.ru/products/ojz/MikrorizirovannyysubstratdlyavyrashchivaniyarasteniyStranaArkadidlyaorkhidey" TargetMode="External"/><Relationship Id="rId363" Type="http://schemas.openxmlformats.org/officeDocument/2006/relationships/hyperlink" Target="https://www.bashinkom.ru/products/ojz/MikorizirovannyysubstratdlyavyrashchivaniyarasteniyStranaArkadiyadlyapaporotnikov" TargetMode="External"/><Relationship Id="rId364" Type="http://schemas.openxmlformats.org/officeDocument/2006/relationships/hyperlink" Target="https://www.bashinkom.ru/products/ojz/MikorizirovannyysubstratdlyavyrashchivaniyarasteniyStranaArkadiya" TargetMode="External"/><Relationship Id="rId365" Type="http://schemas.openxmlformats.org/officeDocument/2006/relationships/hyperlink" Target="https://www.bashinkom.ru/products/ojz/MikorizirovannyysubstratdlyavyrashchivaniyarasteniyStranaArkadiyadlyasenpoliy" TargetMode="External"/><Relationship Id="rId366" Type="http://schemas.openxmlformats.org/officeDocument/2006/relationships/hyperlink" Target="https://www.bashinkom.ru/products/ojz/FialkaGeranZemlyaMatushkadlyafialkigeranigloksiniifuksiigiatsinta3l" TargetMode="External"/><Relationship Id="rId367" Type="http://schemas.openxmlformats.org/officeDocument/2006/relationships/hyperlink" Target="https://www.bashinkom.ru/products/ojz/FikusPalmaZemlyaMatushkadlyafikusovdratsenyaraliikhavei3l" TargetMode="External"/><Relationship Id="rId368" Type="http://schemas.openxmlformats.org/officeDocument/2006/relationships/hyperlink" Target="https://bio-kompleks.ru/catalog/vsya_produktsiya/bio_kompleks_stimulyator_tsveteniya_i_plodonosheniya_tm_mag_46g_16/" TargetMode="External"/><Relationship Id="rId369" Type="http://schemas.openxmlformats.org/officeDocument/2006/relationships/hyperlink" Target="https://bio-kompleks.ru/catalog/vsya_produktsiya/gibbera_vr_stimulyator_plodoobrazovaniya/" TargetMode="External"/><Relationship Id="rId370" Type="http://schemas.openxmlformats.org/officeDocument/2006/relationships/hyperlink" Target="https://bio-kompleks.ru/catalog/vsya_produktsiya/emistim_r_stimulyator_zavyazey_immuniteta/" TargetMode="External"/><Relationship Id="rId371" Type="http://schemas.openxmlformats.org/officeDocument/2006/relationships/hyperlink" Target="https://www.bashinkom.ru/products/avz/BorogumB11ME" TargetMode="External"/><Relationship Id="rId372" Type="http://schemas.openxmlformats.org/officeDocument/2006/relationships/hyperlink" Target="https://www.bashinkom.ru/products/avz/BorogumMMednoTSinkovyy" TargetMode="External"/><Relationship Id="rId373" Type="http://schemas.openxmlformats.org/officeDocument/2006/relationships/hyperlink" Target="https://www.bashinkom.ru/products/avz/BorogumMKompleksnyy" TargetMode="External"/><Relationship Id="rId374" Type="http://schemas.openxmlformats.org/officeDocument/2006/relationships/hyperlink" Target="https://www.bashinkom.ru/products/avz/BorogumMMolibdenovyy" TargetMode="External"/><Relationship Id="rId375" Type="http://schemas.openxmlformats.org/officeDocument/2006/relationships/hyperlink" Target="https://www.bashinkom.ru/products/avz/BorogumMMolibdenovoMargantsevyy" TargetMode="External"/><Relationship Id="rId376" Type="http://schemas.openxmlformats.org/officeDocument/2006/relationships/hyperlink" Target="https://www.bashinkom.ru/products/avz/BorogumM354501ME" TargetMode="External"/><Relationship Id="rId377" Type="http://schemas.openxmlformats.org/officeDocument/2006/relationships/hyperlink" Target="https://www.bashinkom.ru/products/ojz/BOROGUMMZavyazplodotsvetokorneobrazovanieotpustotsvetovBorGumiNPK11mikroelementov02l" TargetMode="External"/><Relationship Id="rId378" Type="http://schemas.openxmlformats.org/officeDocument/2006/relationships/hyperlink" Target="https://bio-kompleks.ru/catalog/vsya_produktsiya/bio_kompleks_biogumus/" TargetMode="External"/><Relationship Id="rId379" Type="http://schemas.openxmlformats.org/officeDocument/2006/relationships/hyperlink" Target="https://bio-kompleks.ru/catalog/vsya_produktsiya/bio_kompleks_gumat_kaliya_/" TargetMode="External"/><Relationship Id="rId380" Type="http://schemas.openxmlformats.org/officeDocument/2006/relationships/hyperlink" Target="https://bio-kompleks.ru/catalog/vsya_produktsiya/gumat_kaliya_sufler_udobrenie_dlya_ovoshchnykh_fl_500_ml/" TargetMode="External"/><Relationship Id="rId381" Type="http://schemas.openxmlformats.org/officeDocument/2006/relationships/hyperlink" Target="https://bio-kompleks.ru/catalog/vsya_produktsiya/gumat_kaliya_sufler_udobrenie_dlya_plodovo_yagodnykh_fl_500_ml/" TargetMode="External"/><Relationship Id="rId382" Type="http://schemas.openxmlformats.org/officeDocument/2006/relationships/hyperlink" Target="https://bio-kompleks.ru/catalog/vsya_produktsiya/gumat_kaliya_sufler_udobrenie_dlya_tsvetochno_dekor_fl_500_ml/" TargetMode="External"/><Relationship Id="rId383" Type="http://schemas.openxmlformats.org/officeDocument/2006/relationships/hyperlink" Target="https://5-sezonov.ru/" TargetMode="External"/><Relationship Id="rId384" Type="http://schemas.openxmlformats.org/officeDocument/2006/relationships/hyperlink" Target="https://5-sezonov.ru/" TargetMode="External"/><Relationship Id="rId385" Type="http://schemas.openxmlformats.org/officeDocument/2006/relationships/hyperlink" Target="https://5-sezonov.ru/" TargetMode="External"/><Relationship Id="rId386" Type="http://schemas.openxmlformats.org/officeDocument/2006/relationships/hyperlink" Target="https://www.bashinkom.ru/products/avz/GUMI20NPK1151" TargetMode="External"/><Relationship Id="rId387" Type="http://schemas.openxmlformats.org/officeDocument/2006/relationships/hyperlink" Target="https://www.bashinkom.ru/products/ojz/GUMI20Universalnyy02l" TargetMode="External"/><Relationship Id="rId388" Type="http://schemas.openxmlformats.org/officeDocument/2006/relationships/hyperlink" Target="https://www.bashinkom.ru/products/ojz/GUMI20TSVETY125ml" TargetMode="External"/><Relationship Id="rId389" Type="http://schemas.openxmlformats.org/officeDocument/2006/relationships/hyperlink" Target="https://www.bashinkom.ru/products/avz/GUMI20MNPK1151ME" TargetMode="External"/><Relationship Id="rId390" Type="http://schemas.openxmlformats.org/officeDocument/2006/relationships/hyperlink" Target="https://www.bashinkom.ru/products/ojz/GUMI30Superuniversalbystrorastvorimyy100g" TargetMode="External"/><Relationship Id="rId391" Type="http://schemas.openxmlformats.org/officeDocument/2006/relationships/hyperlink" Target="https://www.bashinkom.ru/products/ojz/Gumi30Universal300g" TargetMode="External"/><Relationship Id="rId392" Type="http://schemas.openxmlformats.org/officeDocument/2006/relationships/hyperlink" Target="https://www.bashinkom.ru/products/ojz/Gumi90dlyaovoshcheyyagodplodovtsvetovidekorativnykhrasteniy6g" TargetMode="External"/><Relationship Id="rId393" Type="http://schemas.openxmlformats.org/officeDocument/2006/relationships/hyperlink" Target="https://www.bashinkom.ru/products/avz/GUMI90" TargetMode="External"/><Relationship Id="rId394" Type="http://schemas.openxmlformats.org/officeDocument/2006/relationships/hyperlink" Target="https://www.bashinkom.ru/products/avz/GUMI90M" TargetMode="External"/><Relationship Id="rId395" Type="http://schemas.openxmlformats.org/officeDocument/2006/relationships/hyperlink" Target="https://www.bashinkom.ru/products/ojz/DARPLODORODIYAkontsentratbioaktivirovannogogumusnogoudobreniya05kg" TargetMode="External"/><Relationship Id="rId396" Type="http://schemas.openxmlformats.org/officeDocument/2006/relationships/hyperlink" Target="https://www.bashinkom.ru/products/ojz/KORNESILGumi20ME03l" TargetMode="External"/><Relationship Id="rId397" Type="http://schemas.openxmlformats.org/officeDocument/2006/relationships/hyperlink" Target="https://www.bashinkom.ru/products/ojz/OLIMPIYSKIYGUMIKKaliynyyNANOGEL300g" TargetMode="External"/><Relationship Id="rId398" Type="http://schemas.openxmlformats.org/officeDocument/2006/relationships/hyperlink" Target="https://bio-kompleks.ru/catalog/vsya_produktsiya/bio_kompleks_ekbi_1_dlya_semyan_i_korney_rassady/" TargetMode="External"/><Relationship Id="rId399" Type="http://schemas.openxmlformats.org/officeDocument/2006/relationships/hyperlink" Target="https://bio-kompleks.ru/catalog/vsya_produktsiya/biostim_start_stimulyator_dlya_semyan_i_rassady_fl_10_ml/" TargetMode="External"/><Relationship Id="rId400" Type="http://schemas.openxmlformats.org/officeDocument/2006/relationships/hyperlink" Target="https://organic-mix.ru/catalog/fitostart-0-6-gr-organik-miks/" TargetMode="External"/><Relationship Id="rId401" Type="http://schemas.openxmlformats.org/officeDocument/2006/relationships/hyperlink" Target="https://www.bashinkom.ru/products/avz/BiopolimikKompleksnyySemena" TargetMode="External"/><Relationship Id="rId402" Type="http://schemas.openxmlformats.org/officeDocument/2006/relationships/hyperlink" Target="https://bio-kompleks.ru/catalog/vsya_produktsiya/bio_kompleks_stimulyator_rosta_i_immuniteta_tm_mag_50g_16/" TargetMode="External"/><Relationship Id="rId403" Type="http://schemas.openxmlformats.org/officeDocument/2006/relationships/hyperlink" Target="https://bio-kompleks.ru/catalog/vsya_produktsiya/bio_kompleks_ekbi_3_dlya_sadovykh_ogorodnykh_i_domashnikh_rasteniy/" TargetMode="External"/><Relationship Id="rId404" Type="http://schemas.openxmlformats.org/officeDocument/2006/relationships/hyperlink" Target="https://bio-kompleks.ru/catalog/vsya_produktsiya/bio_kompleks_ekbi_4_dlya_listvy_i_stvolov_kustarnikov_i_derevev/" TargetMode="External"/><Relationship Id="rId405" Type="http://schemas.openxmlformats.org/officeDocument/2006/relationships/hyperlink" Target="https://organic-mix.ru/catalog/aminorost-banochka-dlya-rassady-120-gr-organik-miks/" TargetMode="External"/><Relationship Id="rId406" Type="http://schemas.openxmlformats.org/officeDocument/2006/relationships/hyperlink" Target="https://organic-mix.ru/catalog/biotonus-banochka-50-gr-organik-miks/" TargetMode="External"/><Relationship Id="rId407" Type="http://schemas.openxmlformats.org/officeDocument/2006/relationships/hyperlink" Target="https://organic-mix.ru/catalog/aminorost-banochka-30-gr-organik-miks/" TargetMode="External"/><Relationship Id="rId408" Type="http://schemas.openxmlformats.org/officeDocument/2006/relationships/hyperlink" Target="https://www.bashinkom.ru/products/avz/BiyakAminoKHit" TargetMode="External"/><Relationship Id="rId409" Type="http://schemas.openxmlformats.org/officeDocument/2006/relationships/hyperlink" Target="https://aminosil.ru/vitamini-universalnie-v-forme-gelya" TargetMode="External"/><Relationship Id="rId410" Type="http://schemas.openxmlformats.org/officeDocument/2006/relationships/hyperlink" Target="https://aminosil.ru/vitamini-universalnie-v-granulah" TargetMode="External"/><Relationship Id="rId411" Type="http://schemas.openxmlformats.org/officeDocument/2006/relationships/hyperlink" Target="https://aminosil.ru/vitamini-universalniye-osennie-v-forme-granul" TargetMode="External"/><Relationship Id="rId412" Type="http://schemas.openxmlformats.org/officeDocument/2006/relationships/hyperlink" Target="https://aminosil.ru/vitamini-universalnie-v-forme-kontsentra" TargetMode="External"/><Relationship Id="rId413" Type="http://schemas.openxmlformats.org/officeDocument/2006/relationships/hyperlink" Target="https://aminosil.ru/vitamini-universalniye-osennie-v-forme-kontsentra" TargetMode="External"/><Relationship Id="rId414" Type="http://schemas.openxmlformats.org/officeDocument/2006/relationships/hyperlink" Target="https://aminosil.ru/sprei-aminosil-universalnii" TargetMode="External"/><Relationship Id="rId415" Type="http://schemas.openxmlformats.org/officeDocument/2006/relationships/hyperlink" Target="https://bio-kompleks.ru/catalog/vsya_produktsiya/bio_kompleks_omu_vesna_leto_universalnoe_tm_biosha/" TargetMode="External"/><Relationship Id="rId416" Type="http://schemas.openxmlformats.org/officeDocument/2006/relationships/hyperlink" Target="https://bio-kompleks.ru/catalog/vsya_produktsiya/bio_kompleks_omu_osen_universalnoe_tm_biosha/" TargetMode="External"/><Relationship Id="rId417" Type="http://schemas.openxmlformats.org/officeDocument/2006/relationships/hyperlink" Target="https://bio-kompleks.ru/catalog/vsya_produktsiya/bio_kompleks_udobrenie_organicheskoe_universalnoe_tm_udobryasha/" TargetMode="External"/><Relationship Id="rId418" Type="http://schemas.openxmlformats.org/officeDocument/2006/relationships/hyperlink" Target="https://bio-kompleks.ru/catalog/vsya_produktsiya/bio_kompleks_tm_listoriya_universalnoe_professionalnoe_mineralnoe_udobrenie_npk_19_19_19/" TargetMode="External"/><Relationship Id="rId419" Type="http://schemas.openxmlformats.org/officeDocument/2006/relationships/hyperlink" Target="https://bio-kompleks.ru/catalog/vsya_produktsiya/biokokteyl_universalnyy_tm_vitaminus/" TargetMode="External"/><Relationship Id="rId420" Type="http://schemas.openxmlformats.org/officeDocument/2006/relationships/hyperlink" Target="https://bio-kompleks.ru/catalog/vsya_produktsiya/nutrivant-plyus-universalnyy-npk-19-19-19-professionalnoe-kompleksnoe-udobrenie/" TargetMode="External"/><Relationship Id="rId421" Type="http://schemas.openxmlformats.org/officeDocument/2006/relationships/hyperlink" Target="https://bio-kompleks.ru/catalog/vsya_produktsiya/raketa_udobrenie_universalnoe_kolyshki_420g_18/" TargetMode="External"/><Relationship Id="rId422" Type="http://schemas.openxmlformats.org/officeDocument/2006/relationships/hyperlink" Target="https://organic-mix.ru/catalog/morskoy-kokteyl-vodorastvorimyy-universalnyy-600-gr-organik-miks-/" TargetMode="External"/><Relationship Id="rId423" Type="http://schemas.openxmlformats.org/officeDocument/2006/relationships/hyperlink" Target="https://organic-mix.ru/catalog/morskoy-kokteyl-5-litrov/" TargetMode="External"/><Relationship Id="rId424" Type="http://schemas.openxmlformats.org/officeDocument/2006/relationships/hyperlink" Target="https://organic-mix.ru/catalog/udobrenie-universalnoe-organik-miks-850-gr/" TargetMode="External"/><Relationship Id="rId425" Type="http://schemas.openxmlformats.org/officeDocument/2006/relationships/hyperlink" Target="https://organic-mix.ru/catalog/eliksir-1-universalnyy-900-ml-new/" TargetMode="External"/><Relationship Id="rId426" Type="http://schemas.openxmlformats.org/officeDocument/2006/relationships/hyperlink" Target="https://www.bashinkom.ru/products/ojz/GumiOMIUNIVERSALOvoshchiYAgodyTSvety07kg" TargetMode="External"/><Relationship Id="rId427" Type="http://schemas.openxmlformats.org/officeDocument/2006/relationships/hyperlink" Target="https://www.bashinkom.ru/products/ojz/GumiOmiUniversalnyyGranulirovannyy" TargetMode="External"/><Relationship Id="rId428" Type="http://schemas.openxmlformats.org/officeDocument/2006/relationships/hyperlink" Target="https://www.bashinkom.ru/products/ojz/TSvetysadovyeUNIVERSALGumiOMI50g" TargetMode="External"/><Relationship Id="rId429" Type="http://schemas.openxmlformats.org/officeDocument/2006/relationships/hyperlink" Target="https://www.bashinkom.ru/products/prodecor/KompleksnoeudobrenieszelenymkhelatoromBIYAKBionekskemiUniversalnyy" TargetMode="External"/><Relationship Id="rId430" Type="http://schemas.openxmlformats.org/officeDocument/2006/relationships/hyperlink" Target="https://www.bashinkom.ru/products/ojz/KompleksnoeuniversalnoeudobreniedlyavsekhsadovoogorodnykhkulturBioneksKemi18181811200g" TargetMode="External"/><Relationship Id="rId431" Type="http://schemas.openxmlformats.org/officeDocument/2006/relationships/hyperlink" Target="https://www.bashinkom.ru/products/ojz/KompleksnoeuniversalnoeudobreniedlyakomnatnykhrasteniyBioneksKemivodorastvorimyy50g" TargetMode="External"/><Relationship Id="rId432" Type="http://schemas.openxmlformats.org/officeDocument/2006/relationships/hyperlink" Target="https://aminosil.ru/vitamini-dlya-tomatov-v-forme-kontsentrata" TargetMode="External"/><Relationship Id="rId433" Type="http://schemas.openxmlformats.org/officeDocument/2006/relationships/hyperlink" Target="https://aminosil.ru/vitamini-dlya-tomatov-percev-v-granulah" TargetMode="External"/><Relationship Id="rId434" Type="http://schemas.openxmlformats.org/officeDocument/2006/relationships/hyperlink" Target="https://bio-kompleks.ru/catalog/vsya_produktsiya/bio_kompleks_omu_dlya_tomatov_pertsev_i_baklazhanov_tm_biosha/" TargetMode="External"/><Relationship Id="rId435" Type="http://schemas.openxmlformats.org/officeDocument/2006/relationships/hyperlink" Target="https://bio-kompleks.ru/catalog/vsya_produktsiya/bio_kompleks_udobrenie_organicheskoe_dlya_tomatov_pertsev_i_baklazhanov_tm_udobryasha/" TargetMode="External"/><Relationship Id="rId436" Type="http://schemas.openxmlformats.org/officeDocument/2006/relationships/hyperlink" Target="https://bio-kompleks.ru/catalog/vsya_produktsiya/bio_kompleks_tm_listoriya_tomat/" TargetMode="External"/><Relationship Id="rId437" Type="http://schemas.openxmlformats.org/officeDocument/2006/relationships/hyperlink" Target="https://bio-kompleks.ru/catalog/vsya_produktsiya/biokokteyl-dlya-komnatnykh-pomidorchikov-i-perchikov-tm-vitaminus/" TargetMode="External"/><Relationship Id="rId438" Type="http://schemas.openxmlformats.org/officeDocument/2006/relationships/hyperlink" Target="https://bio-kompleks.ru/catalog/vsya_produktsiya/biokokteyl_dlya_tomatov_pertsev_baklazhanov_tm_vitaminus/" TargetMode="External"/><Relationship Id="rId439" Type="http://schemas.openxmlformats.org/officeDocument/2006/relationships/hyperlink" Target="https://bio-kompleks.ru/catalog/vsya_produktsiya/nutrivant-plyus-tomat-npk-6-18-37-professionalnoe-kompleksnoe-udobrenie/" TargetMode="External"/><Relationship Id="rId440" Type="http://schemas.openxmlformats.org/officeDocument/2006/relationships/hyperlink" Target="https://organic-mix.ru/catalog/morskoy-kokteyl-vodorastvorimyy-dlya-tomatov-600-g-organik-miks/" TargetMode="External"/><Relationship Id="rId441" Type="http://schemas.openxmlformats.org/officeDocument/2006/relationships/hyperlink" Target="https://organic-mix.ru/catalog/morskoy-kokteyl-zhidkiy-dlya-tomatov-5-l/" TargetMode="External"/><Relationship Id="rId442" Type="http://schemas.openxmlformats.org/officeDocument/2006/relationships/hyperlink" Target="https://organic-mix.ru/catalog/udobrenie-dlya-tomatov/" TargetMode="External"/><Relationship Id="rId443" Type="http://schemas.openxmlformats.org/officeDocument/2006/relationships/hyperlink" Target="https://organic-mix.ru/catalog/eliksir-1-dlya-pertsev-5-l-organik-miks-new/" TargetMode="External"/><Relationship Id="rId444" Type="http://schemas.openxmlformats.org/officeDocument/2006/relationships/hyperlink" Target="https://organic-mix.ru/catalog/eliksir-1-dlya-tomatov-900-ml-new/" TargetMode="External"/><Relationship Id="rId445" Type="http://schemas.openxmlformats.org/officeDocument/2006/relationships/hyperlink" Target="https://www.bashinkom.ru/products/ojz/GumiOMITomatBaklazhanPerets07kg" TargetMode="External"/><Relationship Id="rId446" Type="http://schemas.openxmlformats.org/officeDocument/2006/relationships/hyperlink" Target="https://aminosil.ru/vitamini-dlya-ogurtsov-v-forme-kontsentrata" TargetMode="External"/><Relationship Id="rId447" Type="http://schemas.openxmlformats.org/officeDocument/2006/relationships/hyperlink" Target="https://aminosil.ru/vitamini-dlya-ogurtsov-kabachkov-v-granulah" TargetMode="External"/><Relationship Id="rId448" Type="http://schemas.openxmlformats.org/officeDocument/2006/relationships/hyperlink" Target="https://bio-kompleks.ru/catalog/vsya_produktsiya/bio_kompleks_omu_dlya_ogurtsov_kabachkov_arbuzov_i_dyn_tm_biosha/" TargetMode="External"/><Relationship Id="rId449" Type="http://schemas.openxmlformats.org/officeDocument/2006/relationships/hyperlink" Target="https://bio-kompleks.ru/catalog/vsya_produktsiya/bio_kompleks_udobrenie_organicheskoe_dlya_ogurtsov_i_kabachkov_tm_udobryasha/" TargetMode="External"/><Relationship Id="rId450" Type="http://schemas.openxmlformats.org/officeDocument/2006/relationships/hyperlink" Target="https://bio-kompleks.ru/catalog/vsya_produktsiya/biokokteyl-dlya-komnatnykh-ogurchikov-tm-vitaminus/" TargetMode="External"/><Relationship Id="rId451" Type="http://schemas.openxmlformats.org/officeDocument/2006/relationships/hyperlink" Target="https://bio-kompleks.ru/catalog/vsya_produktsiya/biokokteyl_dlya_ogurtsov_i_kabachkov_tm_vitaminus/" TargetMode="External"/><Relationship Id="rId452" Type="http://schemas.openxmlformats.org/officeDocument/2006/relationships/hyperlink" Target="https://organic-mix.ru/catalog/morskoy-kokteyl-vodorastvorimyy-dlya-ogurtsov-600-g-organik-miks/" TargetMode="External"/><Relationship Id="rId453" Type="http://schemas.openxmlformats.org/officeDocument/2006/relationships/hyperlink" Target="https://organic-mix.ru/catalog/udobrenie-dlya-gigantskoy-tykvy-ryzhiy-slon-organik-miks-7-kg-vedro/" TargetMode="External"/><Relationship Id="rId454" Type="http://schemas.openxmlformats.org/officeDocument/2006/relationships/hyperlink" Target="https://organic-mix.ru/catalog/udobrenie-dlya-ogurtsov-organik-miks-850-gr/" TargetMode="External"/><Relationship Id="rId455" Type="http://schemas.openxmlformats.org/officeDocument/2006/relationships/hyperlink" Target="https://organic-mix.ru/catalog/eliksir-1-dlya-ogurtsov-900-ml-organik-miks-new/" TargetMode="External"/><Relationship Id="rId456" Type="http://schemas.openxmlformats.org/officeDocument/2006/relationships/hyperlink" Target="https://www.bashinkom.ru/products/ojz/GumiOMIOguretsKabachokBakhchevye07kg" TargetMode="External"/><Relationship Id="rId457" Type="http://schemas.openxmlformats.org/officeDocument/2006/relationships/hyperlink" Target="https://aminosil.ru/vitamini-dlya-rassadi-v-granulah" TargetMode="External"/><Relationship Id="rId458" Type="http://schemas.openxmlformats.org/officeDocument/2006/relationships/hyperlink" Target="https://aminosil.ru/vitamini-dlya-ovoschei-i-rassadi-v-forme-gelya" TargetMode="External"/><Relationship Id="rId459" Type="http://schemas.openxmlformats.org/officeDocument/2006/relationships/hyperlink" Target="https://aminosil.ru/vitamini-dlya-rassady-v-forme-kontsentra" TargetMode="External"/><Relationship Id="rId460" Type="http://schemas.openxmlformats.org/officeDocument/2006/relationships/hyperlink" Target="https://aminosil.ru/sprei-aminosil-dlya-rassadi" TargetMode="External"/><Relationship Id="rId461" Type="http://schemas.openxmlformats.org/officeDocument/2006/relationships/hyperlink" Target="https://bio-kompleks.ru/catalog/vsya_produktsiya/bio_kompleks_rassada_bum/" TargetMode="External"/><Relationship Id="rId462" Type="http://schemas.openxmlformats.org/officeDocument/2006/relationships/hyperlink" Target="https://bio-kompleks.ru/catalog/vsya_produktsiya/bio_kompleks_tm_listoriya_rassada/" TargetMode="External"/><Relationship Id="rId463" Type="http://schemas.openxmlformats.org/officeDocument/2006/relationships/hyperlink" Target="https://bio-kompleks.ru/catalog/vsya_produktsiya/biokokteyl-dlya-rassady-tm-vitaminus/" TargetMode="External"/><Relationship Id="rId464" Type="http://schemas.openxmlformats.org/officeDocument/2006/relationships/hyperlink" Target="https://organic-mix.ru/catalog/morskoy-kokteyl-vodorastvorimyy-dlya-rassady-150-gr-organik-miks/" TargetMode="External"/><Relationship Id="rId465" Type="http://schemas.openxmlformats.org/officeDocument/2006/relationships/hyperlink" Target="https://organic-mix.ru/catalog/morskoy-kokteyl-zhidkiy-dlya-rassady-900-ml-sfr/" TargetMode="External"/><Relationship Id="rId466" Type="http://schemas.openxmlformats.org/officeDocument/2006/relationships/hyperlink" Target="https://organic-mix.ru/catalog/morskoy-kokteyl-zhidkiy-dlya-rassady-250-ml-s-priyatnym-zapakhom/" TargetMode="External"/><Relationship Id="rId467" Type="http://schemas.openxmlformats.org/officeDocument/2006/relationships/hyperlink" Target="https://organic-mix.ru/catalog/morskoy-kokteyl-gel-dlya-rassady-450-ml/" TargetMode="External"/><Relationship Id="rId468" Type="http://schemas.openxmlformats.org/officeDocument/2006/relationships/hyperlink" Target="https://organic-mix.ru/catalog/morskoy-kokteyl-tonik-dlya-rassady-sprey-450-ml/" TargetMode="External"/><Relationship Id="rId469" Type="http://schemas.openxmlformats.org/officeDocument/2006/relationships/hyperlink" Target="https://organic-mix.ru/catalog/udobrenie-dlya-peresadki-i-rassady-organik-miks-850-gr/" TargetMode="External"/><Relationship Id="rId470" Type="http://schemas.openxmlformats.org/officeDocument/2006/relationships/hyperlink" Target="https://organic-mix.ru/catalog/udobrenie-dlya-posadki-sazhentsev-organik-miks-850-gr/" TargetMode="External"/><Relationship Id="rId471" Type="http://schemas.openxmlformats.org/officeDocument/2006/relationships/hyperlink" Target="https://organic-mix.ru/catalog/eliksir-1-dlya-rassady-900-ml-new/" TargetMode="External"/><Relationship Id="rId472" Type="http://schemas.openxmlformats.org/officeDocument/2006/relationships/hyperlink" Target="https://www.bashinkom.ru/products/ojz/GumiOmiRassada" TargetMode="External"/><Relationship Id="rId473" Type="http://schemas.openxmlformats.org/officeDocument/2006/relationships/hyperlink" Target="https://aminosil.ru/vitamini-dlya-klubniki-v-granulah" TargetMode="External"/><Relationship Id="rId474" Type="http://schemas.openxmlformats.org/officeDocument/2006/relationships/hyperlink" Target="https://aminosil.ru/vitamini-dlya-klubniki-v-forme-kontsentrata" TargetMode="External"/><Relationship Id="rId475" Type="http://schemas.openxmlformats.org/officeDocument/2006/relationships/hyperlink" Target="https://bio-kompleks.ru/catalog/vsya_produktsiya/bio_kompleks_omu_dlya_klubniki_i_zemlyaniki_tm_biosha/" TargetMode="External"/><Relationship Id="rId476" Type="http://schemas.openxmlformats.org/officeDocument/2006/relationships/hyperlink" Target="https://bio-kompleks.ru/catalog/vsya_produktsiya/bio_kompleks_omu_dlya_plodovo_yagodnykh_derevev_i_kustarnikov_tm_biosha/" TargetMode="External"/><Relationship Id="rId477" Type="http://schemas.openxmlformats.org/officeDocument/2006/relationships/hyperlink" Target="https://bio-kompleks.ru/catalog/vsya_produktsiya/bio_kompleks_udobrenie_organicheskoe_dlya_yagod_tm_udobryasha/" TargetMode="External"/><Relationship Id="rId478" Type="http://schemas.openxmlformats.org/officeDocument/2006/relationships/hyperlink" Target="https://bio-kompleks.ru/catalog/vsya_produktsiya/bio_kompleks_yagody_bum/" TargetMode="External"/><Relationship Id="rId479" Type="http://schemas.openxmlformats.org/officeDocument/2006/relationships/hyperlink" Target="https://bio-kompleks.ru/catalog/vsya_produktsiya/bio_kompleks_tm_listoriya_yagody/" TargetMode="External"/><Relationship Id="rId480" Type="http://schemas.openxmlformats.org/officeDocument/2006/relationships/hyperlink" Target="https://bio-kompleks.ru/catalog/vsya_produktsiya/biokokteyl_dlya_klubniki_i_maliny_tm_vitaminus/" TargetMode="External"/><Relationship Id="rId481" Type="http://schemas.openxmlformats.org/officeDocument/2006/relationships/hyperlink" Target="https://bio-kompleks.ru/catalog/vsya_produktsiya/biokokteyl_dlya_smorodiny_kryzhovnika_i_zhimolosti_tm_vitaminus/" TargetMode="External"/><Relationship Id="rId482" Type="http://schemas.openxmlformats.org/officeDocument/2006/relationships/hyperlink" Target="https://bio-kompleks.ru/catalog/vsya_produktsiya/nutrivant-plyus-yagodnyy-npk-12-5-27-professionalnoe-kompleksnoe-udobrenie/" TargetMode="External"/><Relationship Id="rId483" Type="http://schemas.openxmlformats.org/officeDocument/2006/relationships/hyperlink" Target="https://bio-kompleks.ru/catalog/vsya_produktsiya/raketa-udobrenie-dlya-plodovo-yagodnykh-kustarnikov-kolyshki/" TargetMode="External"/><Relationship Id="rId484" Type="http://schemas.openxmlformats.org/officeDocument/2006/relationships/hyperlink" Target="https://organic-mix.ru/catalog/morskoy-kokteyl-vodorastvorimyy-dlya-klubniki-600-gr-/" TargetMode="External"/><Relationship Id="rId485" Type="http://schemas.openxmlformats.org/officeDocument/2006/relationships/hyperlink" Target="https://organic-mix.ru/catalog/morskoy-kokteyl-zhidkiy-dlya-klubniki-450-ml/" TargetMode="External"/><Relationship Id="rId486" Type="http://schemas.openxmlformats.org/officeDocument/2006/relationships/hyperlink" Target="https://organic-mix.ru/catalog/udobrenie-dlya-klubniki-i-yagodnykh-organik-miks-800-gr/" TargetMode="External"/><Relationship Id="rId487" Type="http://schemas.openxmlformats.org/officeDocument/2006/relationships/hyperlink" Target="https://organic-mix.ru/catalog/eliksir-1-dlya-klubniki-900-ml-organik-miks-new/" TargetMode="External"/><Relationship Id="rId488" Type="http://schemas.openxmlformats.org/officeDocument/2006/relationships/hyperlink" Target="https://organic-mix.ru/catalog/eliksir-1-dlya-yagodnykh-900-ml-organik-miks/" TargetMode="External"/><Relationship Id="rId489" Type="http://schemas.openxmlformats.org/officeDocument/2006/relationships/hyperlink" Target="https://www.bashinkom.ru/products/ojz/BOGATYYOvoshchiYAgodyZelenzhidkoekompleksnoebioaktivirovanoeudobrenie05l" TargetMode="External"/><Relationship Id="rId490" Type="http://schemas.openxmlformats.org/officeDocument/2006/relationships/hyperlink" Target="https://www.bashinkom.ru/products/ojz/GumiOMIUNIVERSALOvoshchiYAgodyTSvety07kg" TargetMode="External"/><Relationship Id="rId491" Type="http://schemas.openxmlformats.org/officeDocument/2006/relationships/hyperlink" Target="https://www.bashinkom.ru/products/ojz/GumiOmiYAGODNYYZemlyanikaKlubnikaMalinaSmorodina07kg" TargetMode="External"/><Relationship Id="rId492" Type="http://schemas.openxmlformats.org/officeDocument/2006/relationships/hyperlink" Target="https://www.bashinkom.ru/products/ojz/GumiOmiYAgodnoe08kggranulirovannyy" TargetMode="External"/><Relationship Id="rId493" Type="http://schemas.openxmlformats.org/officeDocument/2006/relationships/hyperlink" Target="https://aminosil.ru/vitamini-dlya-pionov-v-forme-granul" TargetMode="External"/><Relationship Id="rId494" Type="http://schemas.openxmlformats.org/officeDocument/2006/relationships/hyperlink" Target="https://aminosil.ru/vitamini-dlya-pionov-forme-kontsentrata" TargetMode="External"/><Relationship Id="rId495" Type="http://schemas.openxmlformats.org/officeDocument/2006/relationships/hyperlink" Target="https://aminosil.ru/vitamini-dlya-roz-v-granulah" TargetMode="External"/><Relationship Id="rId496" Type="http://schemas.openxmlformats.org/officeDocument/2006/relationships/hyperlink" Target="https://aminosil.ru/vitamini-dlya-roz-v-forme-gelya" TargetMode="External"/><Relationship Id="rId497" Type="http://schemas.openxmlformats.org/officeDocument/2006/relationships/hyperlink" Target="https://aminosil.ru/vitamini-dlya-roz-forme-kontsentrata" TargetMode="External"/><Relationship Id="rId498" Type="http://schemas.openxmlformats.org/officeDocument/2006/relationships/hyperlink" Target="https://aminosil.ru/sprei-aminosil-dlya-roz" TargetMode="External"/><Relationship Id="rId499" Type="http://schemas.openxmlformats.org/officeDocument/2006/relationships/hyperlink" Target="https://bio-kompleks.ru/catalog/vsya_produktsiya/bio_kompleks_omu_dlya_roz_pionov_tm_biosha/" TargetMode="External"/><Relationship Id="rId500" Type="http://schemas.openxmlformats.org/officeDocument/2006/relationships/hyperlink" Target="https://bio-kompleks.ru/catalog/vsya_produktsiya/biokokteyl-dlya-komnatnoy-rozy-komnatnyy-fenshuy-tm-happy/" TargetMode="External"/><Relationship Id="rId501" Type="http://schemas.openxmlformats.org/officeDocument/2006/relationships/hyperlink" Target="https://bio-kompleks.ru/catalog/vsya_produktsiya/biokokteyl_dlya_sadovykh_roz_tm_vitaminus/" TargetMode="External"/><Relationship Id="rId502" Type="http://schemas.openxmlformats.org/officeDocument/2006/relationships/hyperlink" Target="https://organic-mix.ru/catalog/morskoy-kokteyl-vodorastvorimyy-dlya-roz-150-g-organik-miks/" TargetMode="External"/><Relationship Id="rId503" Type="http://schemas.openxmlformats.org/officeDocument/2006/relationships/hyperlink" Target="https://organic-mix.ru/catalog/morskoy-kokteyl-zhidkiy-dlya-roz-450-ml/" TargetMode="External"/><Relationship Id="rId504" Type="http://schemas.openxmlformats.org/officeDocument/2006/relationships/hyperlink" Target="https://organic-mix.ru/catalog/udobrenie-dlya-roz-i-tsvetov-organik-miks-7-kg-vedro/" TargetMode="External"/><Relationship Id="rId505" Type="http://schemas.openxmlformats.org/officeDocument/2006/relationships/hyperlink" Target="https://organic-mix.ru/catalog/eliksir-1-dlya-pionov-5-l-organik-miks-new/" TargetMode="External"/><Relationship Id="rId506" Type="http://schemas.openxmlformats.org/officeDocument/2006/relationships/hyperlink" Target="https://organic-mix.ru/catalog/eliksir-1-dlya-roz-900-ml-organik-miks-new/" TargetMode="External"/><Relationship Id="rId507" Type="http://schemas.openxmlformats.org/officeDocument/2006/relationships/hyperlink" Target="https://www.bashinkom.ru/products/ojz/ROZYGumiOmi05kg" TargetMode="External"/><Relationship Id="rId508" Type="http://schemas.openxmlformats.org/officeDocument/2006/relationships/hyperlink" Target="https://aminosil.ru/vitamini-dlya-gortenzii-i-azalii-v-forme-gelya" TargetMode="External"/><Relationship Id="rId509" Type="http://schemas.openxmlformats.org/officeDocument/2006/relationships/hyperlink" Target="https://aminosil.ru/vitamini-dlya-gortenzii-i-azalii-v-forme-granul" TargetMode="External"/><Relationship Id="rId510" Type="http://schemas.openxmlformats.org/officeDocument/2006/relationships/hyperlink" Target="https://aminosil.ru/vitamini-dlya-gortenzii-i-azalii-forme-k" TargetMode="External"/><Relationship Id="rId511" Type="http://schemas.openxmlformats.org/officeDocument/2006/relationships/hyperlink" Target="https://aminosil.ru/sprei-aminosil-dlya-gortenzii" TargetMode="External"/><Relationship Id="rId512" Type="http://schemas.openxmlformats.org/officeDocument/2006/relationships/hyperlink" Target="https://bio-kompleks.ru/catalog/vsya_produktsiya/bio_kompleks_omu_dlya_gortenziy_rododendronov_azaliy_tm_biosha/" TargetMode="External"/><Relationship Id="rId513" Type="http://schemas.openxmlformats.org/officeDocument/2006/relationships/hyperlink" Target="https://bio-kompleks.ru/catalog/vsya_produktsiya/bio_kompleks_udobrenie_organicheskoe_dlya_gortenziy_tm_udobryasha/" TargetMode="External"/><Relationship Id="rId514" Type="http://schemas.openxmlformats.org/officeDocument/2006/relationships/hyperlink" Target="https://bio-kompleks.ru/catalog/vsya_produktsiya/biokokteyl_dlya_gortenziy_azaliy_i_rododendronov_tm_vitaminus/" TargetMode="External"/><Relationship Id="rId515" Type="http://schemas.openxmlformats.org/officeDocument/2006/relationships/hyperlink" Target="https://bio-kompleks.ru/catalog/vsya_produktsiya/raketa-udobrenie-mineralnoe-dlya-gortenziy-kolyshki/" TargetMode="External"/><Relationship Id="rId516" Type="http://schemas.openxmlformats.org/officeDocument/2006/relationships/hyperlink" Target="https://organic-mix.ru/catalog/morskoy-kokteyl-vodorastvorimyy-dlya-gortenziy-150-g-organik-miks/" TargetMode="External"/><Relationship Id="rId517" Type="http://schemas.openxmlformats.org/officeDocument/2006/relationships/hyperlink" Target="https://organic-mix.ru/catalog/morskoy-kokteyl-zhidkiy-dlya-gortenziy-450-ml/" TargetMode="External"/><Relationship Id="rId518" Type="http://schemas.openxmlformats.org/officeDocument/2006/relationships/hyperlink" Target="https://organic-mix.ru/catalog/udobrenie-dlya-gortenziy-organik-miks-800-gr/" TargetMode="External"/><Relationship Id="rId519" Type="http://schemas.openxmlformats.org/officeDocument/2006/relationships/hyperlink" Target="https://organic-mix.ru/catalog/eliksir-1-dlya-gortenziy-900-ml-new/" TargetMode="External"/><Relationship Id="rId520" Type="http://schemas.openxmlformats.org/officeDocument/2006/relationships/hyperlink" Target="https://www.bashinkom.ru/products/ojz/BogatyyGortenziyarododendronazaliyakameliya" TargetMode="External"/><Relationship Id="rId521" Type="http://schemas.openxmlformats.org/officeDocument/2006/relationships/hyperlink" Target="https://www.bashinkom.ru/products/ojz/ProbiogranulyGortenziya" TargetMode="External"/><Relationship Id="rId522" Type="http://schemas.openxmlformats.org/officeDocument/2006/relationships/hyperlink" Target="https://www.bashinkom.ru/products/ojz/ProbiogranulyKislotolyubivyekustarniki08kg" TargetMode="External"/><Relationship Id="rId523" Type="http://schemas.openxmlformats.org/officeDocument/2006/relationships/hyperlink" Target="https://aminosil.ru/vitaminy-dlya-golubiki-v-forme-granul" TargetMode="External"/><Relationship Id="rId524" Type="http://schemas.openxmlformats.org/officeDocument/2006/relationships/hyperlink" Target="https://aminosil.ru/vitamini-dlya-golubiki-v-forme-kontsentrata" TargetMode="External"/><Relationship Id="rId525" Type="http://schemas.openxmlformats.org/officeDocument/2006/relationships/hyperlink" Target="https://bio-kompleks.ru/catalog/vsya_produktsiya/bio_kompleks_udobrenie_organicheskoe_dlya_golubiki_brusniki_klyukvy_cherniki_tm_udobryasha/" TargetMode="External"/><Relationship Id="rId526" Type="http://schemas.openxmlformats.org/officeDocument/2006/relationships/hyperlink" Target="https://bio-kompleks.ru/catalog/vsya_produktsiya/biokokteyl-dlya-golubiki-brusniki-i-klyukvy-tm-biosha/" TargetMode="External"/><Relationship Id="rId527" Type="http://schemas.openxmlformats.org/officeDocument/2006/relationships/hyperlink" Target="https://organic-mix.ru/catalog/udobrenie-dlya-golubiki/" TargetMode="External"/><Relationship Id="rId528" Type="http://schemas.openxmlformats.org/officeDocument/2006/relationships/hyperlink" Target="https://organic-mix.ru/catalog/eliksir-1-dlya-golubiki-5-l-organik-miks-new/" TargetMode="External"/><Relationship Id="rId529" Type="http://schemas.openxmlformats.org/officeDocument/2006/relationships/hyperlink" Target="https://aminosil.ru/vitamini-dlya-tui-v-forme-kontsentra" TargetMode="External"/><Relationship Id="rId530" Type="http://schemas.openxmlformats.org/officeDocument/2006/relationships/hyperlink" Target="https://aminosil.ru/vitamini-dlya-hvoinih-v-forme-kontsentra" TargetMode="External"/><Relationship Id="rId531" Type="http://schemas.openxmlformats.org/officeDocument/2006/relationships/hyperlink" Target="https://aminosil.ru/vitamini-dlya-hvoinih-rastenii-v-granulah" TargetMode="External"/><Relationship Id="rId532" Type="http://schemas.openxmlformats.org/officeDocument/2006/relationships/hyperlink" Target="https://aminosil.ru/-vitamini-dlya-hvoinih-rastenii-v-forme-gelya" TargetMode="External"/><Relationship Id="rId533" Type="http://schemas.openxmlformats.org/officeDocument/2006/relationships/hyperlink" Target="https://bio-kompleks.ru/catalog/vsya_produktsiya/bio_kompleks_omu_dlya_khvoynykh_kultur_tm_biosha/" TargetMode="External"/><Relationship Id="rId534" Type="http://schemas.openxmlformats.org/officeDocument/2006/relationships/hyperlink" Target="https://bio-kompleks.ru/catalog/vsya_produktsiya/bio_kompleks_tm_listoriya_khvoynye_vechnozelyenye/" TargetMode="External"/><Relationship Id="rId535" Type="http://schemas.openxmlformats.org/officeDocument/2006/relationships/hyperlink" Target="https://bio-kompleks.ru/catalog/vsya_produktsiya/biokokteyl-dlya-khvoynykh-tm-biosha/" TargetMode="External"/><Relationship Id="rId536" Type="http://schemas.openxmlformats.org/officeDocument/2006/relationships/hyperlink" Target="https://bio-kompleks.ru/catalog/vsya_produktsiya/nutrivant-plyus-khvoynye-vechnozelyenye-npk-0-36-24-professionalnoe-kompleksnoe-udobrenie/" TargetMode="External"/><Relationship Id="rId537" Type="http://schemas.openxmlformats.org/officeDocument/2006/relationships/hyperlink" Target="https://bio-kompleks.ru/catalog/vsya_produktsiya/raketa-udobrenie-dlya-khvoynykh-kultur-kolyshki/" TargetMode="External"/><Relationship Id="rId538" Type="http://schemas.openxmlformats.org/officeDocument/2006/relationships/hyperlink" Target="https://organic-mix.ru/catalog/morskoy-kokteyl-vodorastvorimyy-dlya-tuy-150-g-organik-miks/" TargetMode="External"/><Relationship Id="rId539" Type="http://schemas.openxmlformats.org/officeDocument/2006/relationships/hyperlink" Target="https://organic-mix.ru/catalog/morskoy-kokteyl-zhidkiy-dlya-tuy-450-ml/" TargetMode="External"/><Relationship Id="rId540" Type="http://schemas.openxmlformats.org/officeDocument/2006/relationships/hyperlink" Target="https://organic-mix.ru/catalog/morskoy-kokteyl-zhidkiy-dlya-khvoynykh-450-ml/" TargetMode="External"/><Relationship Id="rId541" Type="http://schemas.openxmlformats.org/officeDocument/2006/relationships/hyperlink" Target="https://organic-mix.ru/catalog/udobrenie-dlya-tuy-zelenaya-strela-organik-miks-7-kg-vedro/" TargetMode="External"/><Relationship Id="rId542" Type="http://schemas.openxmlformats.org/officeDocument/2006/relationships/hyperlink" Target="https://organic-mix.ru/catalog/udobrenie-dlya-khvoynykh-organik-miks-850-gr/" TargetMode="External"/><Relationship Id="rId543" Type="http://schemas.openxmlformats.org/officeDocument/2006/relationships/hyperlink" Target="https://organic-mix.ru/catalog/eliksir-1-dlya-tui-5-l-organik-miks-new/" TargetMode="External"/><Relationship Id="rId544" Type="http://schemas.openxmlformats.org/officeDocument/2006/relationships/hyperlink" Target="https://organic-mix.ru/catalog/eliksir-1-dlya-khvoynykh-5-l-organik-miks-new/" TargetMode="External"/><Relationship Id="rId545" Type="http://schemas.openxmlformats.org/officeDocument/2006/relationships/hyperlink" Target="https://www.bashinkom.ru/products/ojz/KHvoynyeGumiOMI05kg" TargetMode="External"/><Relationship Id="rId546" Type="http://schemas.openxmlformats.org/officeDocument/2006/relationships/hyperlink" Target="https://www.bashinkom.ru/products/ojz/ProbiogranulyKHvoynye" TargetMode="External"/><Relationship Id="rId547" Type="http://schemas.openxmlformats.org/officeDocument/2006/relationships/hyperlink" Target="https://www.bashinkom.ru/products/prodecor/PROBIOGRANULYPGPRKHvoynyeNPK547MEPGPRbakterii" TargetMode="External"/><Relationship Id="rId548" Type="http://schemas.openxmlformats.org/officeDocument/2006/relationships/hyperlink" Target="https://aminosil.ru/vitamini-dlya-gazona-v-granulah" TargetMode="External"/><Relationship Id="rId549" Type="http://schemas.openxmlformats.org/officeDocument/2006/relationships/hyperlink" Target="https://aminosil.ru/vitamini-dlya-gazonov-v-forme-kontsentrata" TargetMode="External"/><Relationship Id="rId550" Type="http://schemas.openxmlformats.org/officeDocument/2006/relationships/hyperlink" Target="https://bio-kompleks.ru/catalog/vsya_produktsiya/bio_kompleks_tm_listoriya_gazon_professionalnoe_mineralnoe_udobrenie_npk_19_19_19/" TargetMode="External"/><Relationship Id="rId551" Type="http://schemas.openxmlformats.org/officeDocument/2006/relationships/hyperlink" Target="https://organic-mix.ru/catalog/udobrenie-dlya-gazona-belgiyskaya-seriya-750-gr/" TargetMode="External"/><Relationship Id="rId552" Type="http://schemas.openxmlformats.org/officeDocument/2006/relationships/hyperlink" Target="https://organic-mix.ru/catalog/udobrenie-dlya-gazona-antimokh-belgiyskaya-seriya-750-gr/" TargetMode="External"/><Relationship Id="rId553" Type="http://schemas.openxmlformats.org/officeDocument/2006/relationships/hyperlink" Target="https://organic-mix.ru/catalog/udobrenie-dlya-gazona-organik-miks-25-kg/" TargetMode="External"/><Relationship Id="rId554" Type="http://schemas.openxmlformats.org/officeDocument/2006/relationships/hyperlink" Target="https://organic-mix.ru/catalog/udobrenie-dlya-gazona-osen-organik-miks-7-kg-vedro/" TargetMode="External"/><Relationship Id="rId555" Type="http://schemas.openxmlformats.org/officeDocument/2006/relationships/hyperlink" Target="https://www.bashinkom.ru/products/ojz/BOGATYYGazonTSvety05l" TargetMode="External"/><Relationship Id="rId556" Type="http://schemas.openxmlformats.org/officeDocument/2006/relationships/hyperlink" Target="https://www.bashinkom.ru/products/ojz/GAZONGumiOMIBOGATEYSHEEudobrenie1kg" TargetMode="External"/><Relationship Id="rId557" Type="http://schemas.openxmlformats.org/officeDocument/2006/relationships/hyperlink" Target="https://aminosil.ru/vitamini-dlya-dekorativno-listvennih-rasteniy-gel" TargetMode="External"/><Relationship Id="rId558" Type="http://schemas.openxmlformats.org/officeDocument/2006/relationships/hyperlink" Target="https://aminosil.ru/vitamini-dlya-dekorativno-listvennih-rasteniy-v-granulah" TargetMode="External"/><Relationship Id="rId559" Type="http://schemas.openxmlformats.org/officeDocument/2006/relationships/hyperlink" Target="https://aminosil.ru/vitamini-dlya-dekorativno-listvennih-rasteniy-koncentrat" TargetMode="External"/><Relationship Id="rId560" Type="http://schemas.openxmlformats.org/officeDocument/2006/relationships/hyperlink" Target="https://aminosil.ru/vitaminy-dlya-zamiokulkasa-v-forme-koncentrata" TargetMode="External"/><Relationship Id="rId561" Type="http://schemas.openxmlformats.org/officeDocument/2006/relationships/hyperlink" Target="https://aminosil.ru/sprei-aminosil-dlya-listvennih-rastenii" TargetMode="External"/><Relationship Id="rId562" Type="http://schemas.openxmlformats.org/officeDocument/2006/relationships/hyperlink" Target="https://bio-kompleks.ru/catalog/vsya_produktsiya/bio_kompleks_udobrenie_dlya_anturiuma_sekret_schastya_75_g_16/" TargetMode="External"/><Relationship Id="rId563" Type="http://schemas.openxmlformats.org/officeDocument/2006/relationships/hyperlink" Target="https://bio-kompleks.ru/catalog/vsya_produktsiya/bio_kompleks_udobrenie_dlya_zamiokulkasa_sekret_schastya_75_g_16/" TargetMode="External"/><Relationship Id="rId564" Type="http://schemas.openxmlformats.org/officeDocument/2006/relationships/hyperlink" Target="https://bio-kompleks.ru/catalog/vsya_produktsiya/bio_kompleks_udobrenie_dlya_spatifilluma_sekret_schastya_75_g_16/" TargetMode="External"/><Relationship Id="rId565" Type="http://schemas.openxmlformats.org/officeDocument/2006/relationships/hyperlink" Target="https://bio-kompleks.ru/catalog/vsya_produktsiya/bio_kompleks_udobrenie_zdorovaya_listva_sekret_schastya_75_g_16_nf_00002013_r_10_01_000007/" TargetMode="External"/><Relationship Id="rId566" Type="http://schemas.openxmlformats.org/officeDocument/2006/relationships/hyperlink" Target="https://bio-kompleks.ru/catalog/vsya_produktsiya/biokokteyl_dlya_adeniuma_komnatnyy_fenshuy_tm_happy/" TargetMode="External"/><Relationship Id="rId567" Type="http://schemas.openxmlformats.org/officeDocument/2006/relationships/hyperlink" Target="https://bio-kompleks.ru/catalog/vsya_produktsiya/biokokteyl-dlya-alokazii-komnatnyy-fenshuy-tm-happy/" TargetMode="External"/><Relationship Id="rId568" Type="http://schemas.openxmlformats.org/officeDocument/2006/relationships/hyperlink" Target="https://bio-kompleks.ru/catalog/vsya_produktsiya/biokokteyl-dlya-anturiuma-komnatnyy-fenshuy-tm-happy/" TargetMode="External"/><Relationship Id="rId569" Type="http://schemas.openxmlformats.org/officeDocument/2006/relationships/hyperlink" Target="https://bio-kompleks.ru/catalog/vsya_produktsiya/biokokteyl-dlya-zamiokulkasa-komnatnyy-fenshuy-tm-happy/" TargetMode="External"/><Relationship Id="rId570" Type="http://schemas.openxmlformats.org/officeDocument/2006/relationships/hyperlink" Target="https://bio-kompleks.ru/catalog/vsya_produktsiya/biokokteyl-dlya-komnatnoy-zeleni-tm-vitaminus/" TargetMode="External"/><Relationship Id="rId571" Type="http://schemas.openxmlformats.org/officeDocument/2006/relationships/hyperlink" Target="https://bio-kompleks.ru/catalog/vsya_produktsiya/biokokteyl-dlya-komnatnoy-rozy-komnatnyy-fenshuy-tm-happy/" TargetMode="External"/><Relationship Id="rId572" Type="http://schemas.openxmlformats.org/officeDocument/2006/relationships/hyperlink" Target="https://bio-kompleks.ru/catalog/vsya_produktsiya/biokokteyl-dlya-komnatnykh-ogurchikov-tm-vitaminus/" TargetMode="External"/><Relationship Id="rId573" Type="http://schemas.openxmlformats.org/officeDocument/2006/relationships/hyperlink" Target="https://bio-kompleks.ru/catalog/vsya_produktsiya/biokokteyl-dlya-komnatnykh-pomidorchikov-i-perchikov-tm-vitaminus/" TargetMode="External"/><Relationship Id="rId574" Type="http://schemas.openxmlformats.org/officeDocument/2006/relationships/hyperlink" Target="https://bio-kompleks.ru/catalog/vsya_produktsiya/biokokteyl-dlya-orkhidei-komnatnyy-fenshuy-tm-happy/" TargetMode="External"/><Relationship Id="rId575" Type="http://schemas.openxmlformats.org/officeDocument/2006/relationships/hyperlink" Target="https://bio-kompleks.ru/catalog/vsya_produktsiya/biokokteyl-dlya-spatifilluma-komnatnyy-fenshuy-tm-happy/" TargetMode="External"/><Relationship Id="rId576" Type="http://schemas.openxmlformats.org/officeDocument/2006/relationships/hyperlink" Target="https://bio-kompleks.ru/catalog/vsya_produktsiya/biokokteyl-dlya-tolstyanki-komnatnyy-fenshuy-tm-happy/" TargetMode="External"/><Relationship Id="rId577" Type="http://schemas.openxmlformats.org/officeDocument/2006/relationships/hyperlink" Target="https://bio-kompleks.ru/catalog/vsya_produktsiya/biokokteyl-dlya-fialki-komnatnyy-fenshuy-tm-happy/" TargetMode="External"/><Relationship Id="rId578" Type="http://schemas.openxmlformats.org/officeDocument/2006/relationships/hyperlink" Target="https://bio-kompleks.ru/catalog/vsya_produktsiya/biokokteyl-dlya-tsitrusovykh-komnatnyy-fenshuy-tm-happy/" TargetMode="External"/><Relationship Id="rId579" Type="http://schemas.openxmlformats.org/officeDocument/2006/relationships/hyperlink" Target="https://bio-kompleks.ru/catalog/vsya_produktsiya/biokokteyl_zdorovaya_listva_dlya_komnatnykh_rasteniy_tm_happy/" TargetMode="External"/><Relationship Id="rId580" Type="http://schemas.openxmlformats.org/officeDocument/2006/relationships/hyperlink" Target="https://bio-kompleks.ru/catalog/vsya_produktsiya/biokokteyl-zdorovaya-listva-dlya-komnatnykh-rasteniy-tm-biosha/" TargetMode="External"/><Relationship Id="rId581" Type="http://schemas.openxmlformats.org/officeDocument/2006/relationships/hyperlink" Target="https://bio-kompleks.ru/catalog/vsya_produktsiya/biokokteyl_pyshnoe_tsvetenie_dlya_komnatnykh_rasteniy_tm_happy/" TargetMode="External"/><Relationship Id="rId582" Type="http://schemas.openxmlformats.org/officeDocument/2006/relationships/hyperlink" Target="https://organic-mix.ru/catalog/morskoy-kokteyl-vodorastvorimyy-dlya-komnatnykh-rasteniy-150-g-organik-miks/" TargetMode="External"/><Relationship Id="rId583" Type="http://schemas.openxmlformats.org/officeDocument/2006/relationships/hyperlink" Target="https://organic-mix.ru/catalog/morskoy-kokteyl-gel-dlya-komnatnykh-rasteniy-250-ml/" TargetMode="External"/><Relationship Id="rId584" Type="http://schemas.openxmlformats.org/officeDocument/2006/relationships/hyperlink" Target="https://organic-mix.ru/catalog/morskoy-kokteyl-tonik-dlya-komnatnykh-rasteniy-sprey-450-ml-/" TargetMode="External"/><Relationship Id="rId585" Type="http://schemas.openxmlformats.org/officeDocument/2006/relationships/hyperlink" Target="https://organic-mix.ru/catalog/eliksir-1-dlya-komnatnykh-rasteniy-900-ml-new/" TargetMode="External"/><Relationship Id="rId586" Type="http://schemas.openxmlformats.org/officeDocument/2006/relationships/hyperlink" Target="https://www.bashinkom.ru/products/ojz/BOGATYYDOMkompleksnoebioaktivirovannoeudobrenie02l" TargetMode="External"/><Relationship Id="rId587" Type="http://schemas.openxmlformats.org/officeDocument/2006/relationships/hyperlink" Target="https://www.bashinkom.ru/products/ojz/LIANYGumiOMI50g" TargetMode="External"/><Relationship Id="rId588" Type="http://schemas.openxmlformats.org/officeDocument/2006/relationships/hyperlink" Target="https://www.bashinkom.ru/products/ojz/KompleksnoeuniversalnoeudobreniedlyakomnatnykhrasteniyBioneksKemivodorastvorimyy50g" TargetMode="External"/><Relationship Id="rId589" Type="http://schemas.openxmlformats.org/officeDocument/2006/relationships/hyperlink" Target="https://www.bashinkom.ru/products/ojz/UdobreniegranulirovannoeprolongirovannoeKomnatnyetsvety02kg" TargetMode="External"/><Relationship Id="rId590" Type="http://schemas.openxmlformats.org/officeDocument/2006/relationships/hyperlink" Target="https://aminosil.ru/vitamini-dlya-orhidei-v-granulah" TargetMode="External"/><Relationship Id="rId591" Type="http://schemas.openxmlformats.org/officeDocument/2006/relationships/hyperlink" Target="https://aminosil.ru/vitamini-dlya-orhidei-v-forme-gelya" TargetMode="External"/><Relationship Id="rId592" Type="http://schemas.openxmlformats.org/officeDocument/2006/relationships/hyperlink" Target="https://aminosil.ru/vitamini-dlya-orhidei-v-forme-kontsentra" TargetMode="External"/><Relationship Id="rId593" Type="http://schemas.openxmlformats.org/officeDocument/2006/relationships/hyperlink" Target="https://aminosil.ru/sprei-aminosil-dlya-orhidei" TargetMode="External"/><Relationship Id="rId594" Type="http://schemas.openxmlformats.org/officeDocument/2006/relationships/hyperlink" Target="https://bio-kompleks.ru/catalog/vsya_produktsiya/bio_kompleks_udobrenie_dlya_orkhidei_sekret_schastya_75_g_16/" TargetMode="External"/><Relationship Id="rId595" Type="http://schemas.openxmlformats.org/officeDocument/2006/relationships/hyperlink" Target="https://bio-kompleks.ru/catalog/vsya_produktsiya/biokokteyl-dlya-orkhidei-komnatnyy-fenshuy-tm-happy/" TargetMode="External"/><Relationship Id="rId596" Type="http://schemas.openxmlformats.org/officeDocument/2006/relationships/hyperlink" Target="https://www.bashinkom.ru/products/ojz/BogatyyOrkhideya01l" TargetMode="External"/><Relationship Id="rId597" Type="http://schemas.openxmlformats.org/officeDocument/2006/relationships/hyperlink" Target="https://aminosil.ru/vitamini-dlya-fikusov-i-palm-v-forme-kontsentrata" TargetMode="External"/><Relationship Id="rId598" Type="http://schemas.openxmlformats.org/officeDocument/2006/relationships/hyperlink" Target="https://organic-mix.ru/catalog/morskoy-kokteyl-vodorastvorimyy-dlya-fikusov-i-palm-150-g-organik-miks/" TargetMode="External"/><Relationship Id="rId599" Type="http://schemas.openxmlformats.org/officeDocument/2006/relationships/hyperlink" Target="https://organic-mix.ru/catalog/eliksir-1-dlya-fikusov-i-palm-900-ml-new/" TargetMode="External"/><Relationship Id="rId600" Type="http://schemas.openxmlformats.org/officeDocument/2006/relationships/hyperlink" Target="https://www.bashinkom.ru/products/ojz/FIKUSPALMAGumiOMI50g" TargetMode="External"/><Relationship Id="rId601" Type="http://schemas.openxmlformats.org/officeDocument/2006/relationships/hyperlink" Target="https://aminosil.ru/vitamini-dlya-fialok-v-forme-gelya" TargetMode="External"/><Relationship Id="rId602" Type="http://schemas.openxmlformats.org/officeDocument/2006/relationships/hyperlink" Target="https://aminosil.ru/vitamini-dlya-fialok-v-forme-kontsentrata" TargetMode="External"/><Relationship Id="rId603" Type="http://schemas.openxmlformats.org/officeDocument/2006/relationships/hyperlink" Target="https://bio-kompleks.ru/catalog/vsya_produktsiya/bio_kompleks_udobrenie_dlya_fialki_sekret_schastya_75_g_16/" TargetMode="External"/><Relationship Id="rId604" Type="http://schemas.openxmlformats.org/officeDocument/2006/relationships/hyperlink" Target="https://bio-kompleks.ru/catalog/vsya_produktsiya/biokokteyl-dlya-fialki-komnatnyy-fenshuy-tm-happy/" TargetMode="External"/><Relationship Id="rId605" Type="http://schemas.openxmlformats.org/officeDocument/2006/relationships/hyperlink" Target="https://www.bashinkom.ru/products/ojz/FIALKAGERANGumiOMI50g" TargetMode="External"/><Relationship Id="rId606" Type="http://schemas.openxmlformats.org/officeDocument/2006/relationships/hyperlink" Target="https://aminosil.ru/vitamini-dlya-kaktusov-i-sukkulentov-v-granulah" TargetMode="External"/><Relationship Id="rId607" Type="http://schemas.openxmlformats.org/officeDocument/2006/relationships/hyperlink" Target="https://aminosil.ru/vitamini-dlya-kaktusov-i-sukkulentov-kontsentrat" TargetMode="External"/><Relationship Id="rId608" Type="http://schemas.openxmlformats.org/officeDocument/2006/relationships/hyperlink" Target="https://bio-kompleks.ru/catalog/vsya_produktsiya/bio_kompleks_udobrenie_dlya_sukkulentov_i_kaktusov_sekret_schastya_75_g_16/" TargetMode="External"/><Relationship Id="rId609" Type="http://schemas.openxmlformats.org/officeDocument/2006/relationships/hyperlink" Target="https://bio-kompleks.ru/catalog/vsya_produktsiya/biokokteyl-dlya-tolstyanki-komnatnyy-fenshuy-tm-happy/" TargetMode="External"/><Relationship Id="rId610" Type="http://schemas.openxmlformats.org/officeDocument/2006/relationships/hyperlink" Target="https://www.bashinkom.ru/products/ojz/KAKTUSALOEGumiOMI50g" TargetMode="External"/><Relationship Id="rId611" Type="http://schemas.openxmlformats.org/officeDocument/2006/relationships/hyperlink" Target="https://aminosil.ru/vitamini-dlya-tsitrusovih-v-granulah" TargetMode="External"/><Relationship Id="rId612" Type="http://schemas.openxmlformats.org/officeDocument/2006/relationships/hyperlink" Target="https://aminosil.ru/vitamini-dlya-tsitrusovih-v-forme-kontsentrata" TargetMode="External"/><Relationship Id="rId613" Type="http://schemas.openxmlformats.org/officeDocument/2006/relationships/hyperlink" Target="https://aminosil.ru/sprei-aminosil-dlya-tsitrusovih" TargetMode="External"/><Relationship Id="rId614" Type="http://schemas.openxmlformats.org/officeDocument/2006/relationships/hyperlink" Target="https://bio-kompleks.ru/catalog/vsya_produktsiya/biokokteyl-dlya-tsitrusovykh-komnatnyy-fenshuy-tm-happy/" TargetMode="External"/><Relationship Id="rId615" Type="http://schemas.openxmlformats.org/officeDocument/2006/relationships/hyperlink" Target="https://organic-mix.ru/catalog/eliksir-1-dlya-limonov-i-tsitrusovykh/" TargetMode="External"/><Relationship Id="rId616" Type="http://schemas.openxmlformats.org/officeDocument/2006/relationships/hyperlink" Target="https://www.bashinkom.ru/products/ojz/LIMONMANDARINGumiOMI50g" TargetMode="External"/><Relationship Id="rId617" Type="http://schemas.openxmlformats.org/officeDocument/2006/relationships/hyperlink" Target="https://aminosil.ru/vitamini-dlya-petunii-v-granulah" TargetMode="External"/><Relationship Id="rId618" Type="http://schemas.openxmlformats.org/officeDocument/2006/relationships/hyperlink" Target="https://aminosil.ru/vitamini-dlya-petunii-v-forme-kontsentra" TargetMode="External"/><Relationship Id="rId619" Type="http://schemas.openxmlformats.org/officeDocument/2006/relationships/hyperlink" Target="https://aminosil.ru/vitamini-dlya-tsvetov-v-granulah" TargetMode="External"/><Relationship Id="rId620" Type="http://schemas.openxmlformats.org/officeDocument/2006/relationships/hyperlink" Target="https://aminosil.ru/vitamini-dlya-tsvetov-v-forme-gelya" TargetMode="External"/><Relationship Id="rId621" Type="http://schemas.openxmlformats.org/officeDocument/2006/relationships/hyperlink" Target="https://aminosil.ru/vitamini-dlya-tsvetov-forme-kontsentrata" TargetMode="External"/><Relationship Id="rId622" Type="http://schemas.openxmlformats.org/officeDocument/2006/relationships/hyperlink" Target="https://aminosil.ru/sprei-aminosil-dlya-petunii" TargetMode="External"/><Relationship Id="rId623" Type="http://schemas.openxmlformats.org/officeDocument/2006/relationships/hyperlink" Target="https://aminosil.ru/sprei-aminosil-dlya-tsvetov" TargetMode="External"/><Relationship Id="rId624" Type="http://schemas.openxmlformats.org/officeDocument/2006/relationships/hyperlink" Target="https://bio-kompleks.ru/catalog/vsya_produktsiya/bio_kompleks_omu_dlya_klematisov_tm_biosha/" TargetMode="External"/><Relationship Id="rId625" Type="http://schemas.openxmlformats.org/officeDocument/2006/relationships/hyperlink" Target="https://bio-kompleks.ru/catalog/vsya_produktsiya/bio_kompleks_petuniya_bum/" TargetMode="External"/><Relationship Id="rId626" Type="http://schemas.openxmlformats.org/officeDocument/2006/relationships/hyperlink" Target="https://bio-kompleks.ru/catalog/vsya_produktsiya/bio_kompleks_udobrenie_organicheskoe_dlya_tsvetov_tm_udobryasha/" TargetMode="External"/><Relationship Id="rId627" Type="http://schemas.openxmlformats.org/officeDocument/2006/relationships/hyperlink" Target="https://bio-kompleks.ru/catalog/vsya_produktsiya/bio_kompleks_udobrenie_pyshnoe_tsvetenie_sekret_schastya_75_g_16/" TargetMode="External"/><Relationship Id="rId628" Type="http://schemas.openxmlformats.org/officeDocument/2006/relationships/hyperlink" Target="https://bio-kompleks.ru/catalog/vsya_produktsiya/bio_kompleks_tsvety_bum/" TargetMode="External"/><Relationship Id="rId629" Type="http://schemas.openxmlformats.org/officeDocument/2006/relationships/hyperlink" Target="https://bio-kompleks.ru/catalog/vsya_produktsiya/bio_kompleks_tm_listoriya_tsvety/" TargetMode="External"/><Relationship Id="rId630" Type="http://schemas.openxmlformats.org/officeDocument/2006/relationships/hyperlink" Target="https://bio-kompleks.ru/catalog/vsya_produktsiya/biokokteyl_dlya_klematisov_tm_vitaminus/" TargetMode="External"/><Relationship Id="rId631" Type="http://schemas.openxmlformats.org/officeDocument/2006/relationships/hyperlink" Target="https://bio-kompleks.ru/catalog/vsya_produktsiya/biokokteyl_dlya_lavandy_tm_vitaminus/" TargetMode="External"/><Relationship Id="rId632" Type="http://schemas.openxmlformats.org/officeDocument/2006/relationships/hyperlink" Target="https://bio-kompleks.ru/catalog/vsya_produktsiya/biokokteyl-dlya-petuniy-tm-biosha/" TargetMode="External"/><Relationship Id="rId633" Type="http://schemas.openxmlformats.org/officeDocument/2006/relationships/hyperlink" Target="https://bio-kompleks.ru/catalog/vsya_produktsiya/biokokteyl_dlya_petuniy_tm_vitaminus/" TargetMode="External"/><Relationship Id="rId634" Type="http://schemas.openxmlformats.org/officeDocument/2006/relationships/hyperlink" Target="https://bio-kompleks.ru/catalog/vsya_produktsiya/biokokteyl_pyshnoe_tsvetenie_dlya_komnatnykh_rasteniy_tm_happy/" TargetMode="External"/><Relationship Id="rId635" Type="http://schemas.openxmlformats.org/officeDocument/2006/relationships/hyperlink" Target="https://bio-kompleks.ru/catalog/vsya_produktsiya/nutrivant-plyus-plody-tsvety-yunikrop-npk-0-36-24-professionalnoe-kompleksnoe-udobrenie/" TargetMode="External"/><Relationship Id="rId636" Type="http://schemas.openxmlformats.org/officeDocument/2006/relationships/hyperlink" Target="https://bio-kompleks.ru/catalog/vsya_produktsiya/nutrivant-plyus-tsvety-npk-19-19-19-professionalnoe-kompleksnoe-udobrenie/" TargetMode="External"/><Relationship Id="rId637" Type="http://schemas.openxmlformats.org/officeDocument/2006/relationships/hyperlink" Target="https://organic-mix.ru/catalog/morskoy-kokteyl-vodorastvorimyy-dlya-tsvetov-600-g-organik-miks/" TargetMode="External"/><Relationship Id="rId638" Type="http://schemas.openxmlformats.org/officeDocument/2006/relationships/hyperlink" Target="https://organic-mix.ru/catalog/morskoy-kokteyl-zhidkiy-dlya-tsvetov-450-ml/" TargetMode="External"/><Relationship Id="rId639" Type="http://schemas.openxmlformats.org/officeDocument/2006/relationships/hyperlink" Target="https://organic-mix.ru/catalog/udobrenie-dlya-roz-i-tsvetov-organik-miks-7-kg-vedro/" TargetMode="External"/><Relationship Id="rId640" Type="http://schemas.openxmlformats.org/officeDocument/2006/relationships/hyperlink" Target="https://organic-mix.ru/catalog/eliksir-1-dlya-klematisov-900-ml-organik-miks-new/" TargetMode="External"/><Relationship Id="rId641" Type="http://schemas.openxmlformats.org/officeDocument/2006/relationships/hyperlink" Target="https://organic-mix.ru/catalog/eliksir-1-dlya-lavandy-900-ml-organik-miks-new/" TargetMode="External"/><Relationship Id="rId642" Type="http://schemas.openxmlformats.org/officeDocument/2006/relationships/hyperlink" Target="https://organic-mix.ru/catalog/eliksir-1-dlya-petuni-5-l-organik-miks-new/" TargetMode="External"/><Relationship Id="rId643" Type="http://schemas.openxmlformats.org/officeDocument/2006/relationships/hyperlink" Target="https://organic-mix.ru/catalog/eliksir-1-dlya-tyulpanov-i-lukovichnykh-tsvetov-900-ml-organik-miks-new/" TargetMode="External"/><Relationship Id="rId644" Type="http://schemas.openxmlformats.org/officeDocument/2006/relationships/hyperlink" Target="https://organic-mix.ru/catalog/eliksir-1-dlya-tsvetov-900-ml-new/" TargetMode="External"/><Relationship Id="rId645" Type="http://schemas.openxmlformats.org/officeDocument/2006/relationships/hyperlink" Target="https://www.bashinkom.ru/products/ojz/BOGATYYGazonTSvety05l" TargetMode="External"/><Relationship Id="rId646" Type="http://schemas.openxmlformats.org/officeDocument/2006/relationships/hyperlink" Target="https://www.bashinkom.ru/products/ojz/OdnoletnieiDvuletnietsvetyGumiOmi50g" TargetMode="External"/><Relationship Id="rId647" Type="http://schemas.openxmlformats.org/officeDocument/2006/relationships/hyperlink" Target="https://www.bashinkom.ru/products/ojz/ButonTSvetyGumiOMI50g" TargetMode="External"/><Relationship Id="rId648" Type="http://schemas.openxmlformats.org/officeDocument/2006/relationships/hyperlink" Target="https://www.bashinkom.ru/products/ojz/LukovichnyeiKlubnelukovichnyetsvetyGumiOMI50g" TargetMode="External"/><Relationship Id="rId649" Type="http://schemas.openxmlformats.org/officeDocument/2006/relationships/hyperlink" Target="https://www.bashinkom.ru/products/ojz/GumiOMIUNIVERSALOvoshchiYAgodyTSvety07kg" TargetMode="External"/><Relationship Id="rId650" Type="http://schemas.openxmlformats.org/officeDocument/2006/relationships/hyperlink" Target="https://www.bashinkom.ru/products/ojz/TSvetysadovyeUNIVERSALGumiOMI50g" TargetMode="External"/><Relationship Id="rId651" Type="http://schemas.openxmlformats.org/officeDocument/2006/relationships/hyperlink" Target="https://www.bashinkom.ru/products/ojz/MnogoletnietsvetyGumiOmi50g" TargetMode="External"/><Relationship Id="rId652" Type="http://schemas.openxmlformats.org/officeDocument/2006/relationships/hyperlink" Target="https://www.bashinkom.ru/products/ojz/UdobreniegranulirovannoeprolongirovannoeKomnatnyetsvety02kg" TargetMode="External"/><Relationship Id="rId653" Type="http://schemas.openxmlformats.org/officeDocument/2006/relationships/hyperlink" Target="https://www.bashinkom.ru/products/ojz/Probiogranulydlyasadovykhtsvetov08kg" TargetMode="External"/><Relationship Id="rId654" Type="http://schemas.openxmlformats.org/officeDocument/2006/relationships/hyperlink" Target="https://www.bashinkom.ru/products/prodecor/PROBIOGRANULYPGPRTSvetyNPK376MEPGPRbakterii" TargetMode="External"/><Relationship Id="rId655" Type="http://schemas.openxmlformats.org/officeDocument/2006/relationships/hyperlink" Target="https://aminosil.ru/vitamini-dlya-luka-i-chesnoka-forme-kontsentrata" TargetMode="External"/><Relationship Id="rId656" Type="http://schemas.openxmlformats.org/officeDocument/2006/relationships/hyperlink" Target="https://bio-kompleks.ru/catalog/vsya_produktsiya/bio_kompleks_udobrenie_organicheskoe_dlya_luka_i_chesnoka_tm_udobryasha/" TargetMode="External"/><Relationship Id="rId657" Type="http://schemas.openxmlformats.org/officeDocument/2006/relationships/hyperlink" Target="https://www.bashinkom.ru/products/ojz/ProbiogranulyLukiCHesnok08kg" TargetMode="External"/><Relationship Id="rId658" Type="http://schemas.openxmlformats.org/officeDocument/2006/relationships/hyperlink" Target="https://www.bashinkom.ru/products/ojz/GumiOMILukCHesnok07kg" TargetMode="External"/><Relationship Id="rId659" Type="http://schemas.openxmlformats.org/officeDocument/2006/relationships/hyperlink" Target="https://bio-kompleks.ru/catalog/vsya_produktsiya/bio_kompleks_udobrenie_organicheskoe_dlya_kartofelya_tm_udobryasha/" TargetMode="External"/><Relationship Id="rId660" Type="http://schemas.openxmlformats.org/officeDocument/2006/relationships/hyperlink" Target="https://organic-mix.ru/catalog/udobrenie-dlya-kartofelya-organik-miks-7-kg-vedro/" TargetMode="External"/><Relationship Id="rId661" Type="http://schemas.openxmlformats.org/officeDocument/2006/relationships/hyperlink" Target="https://organic-mix.ru/catalog/udobrenie-dlya-korneplodov-organik-miks-850-gr/" TargetMode="External"/><Relationship Id="rId662" Type="http://schemas.openxmlformats.org/officeDocument/2006/relationships/hyperlink" Target="https://organic-mix.ru/catalog/eliksir-1-dlya-morkovi-i-korneplodov-900-ml-organik-miks-new/" TargetMode="External"/><Relationship Id="rId663" Type="http://schemas.openxmlformats.org/officeDocument/2006/relationships/hyperlink" Target="https://www.bashinkom.ru/products/ojz/GumiOMIKartofel10kg" TargetMode="External"/><Relationship Id="rId664" Type="http://schemas.openxmlformats.org/officeDocument/2006/relationships/hyperlink" Target="https://www.bashinkom.ru/products/ojz/GumiOMIKartofelMorkovRedisSveklaRepaRedka07kg" TargetMode="External"/><Relationship Id="rId665" Type="http://schemas.openxmlformats.org/officeDocument/2006/relationships/hyperlink" Target="https://bio-kompleks.ru/catalog/vsya_produktsiya/bio_kompleks_omu_dlya_plodovo_yagodnykh_derevev_i_kustarnikov_tm_biosha/" TargetMode="External"/><Relationship Id="rId666" Type="http://schemas.openxmlformats.org/officeDocument/2006/relationships/hyperlink" Target="https://bio-kompleks.ru/catalog/vsya_produktsiya/bio_kompleks_udobrenie_organicheskoe_dlya_vinograda_tm_udobryasha/" TargetMode="External"/><Relationship Id="rId667" Type="http://schemas.openxmlformats.org/officeDocument/2006/relationships/hyperlink" Target="https://bio-kompleks.ru/catalog/vsya_produktsiya/bio_kompleks_tm_listoriya_vinograd_professionalnoe_mineralnoe_udobrenie_npk_0_40_25/" TargetMode="External"/><Relationship Id="rId668" Type="http://schemas.openxmlformats.org/officeDocument/2006/relationships/hyperlink" Target="https://bio-kompleks.ru/catalog/vsya_produktsiya/nutrivant-plyus-vinograd-npk-0-40-25-professionalnoe-kompleksnoe-udobrenie/" TargetMode="External"/><Relationship Id="rId669" Type="http://schemas.openxmlformats.org/officeDocument/2006/relationships/hyperlink" Target="https://bio-kompleks.ru/catalog/vsya_produktsiya/raketa-udobrenie-dlya-plodovo-yagodnykh-kustarnikov-kolyshki/" TargetMode="External"/><Relationship Id="rId670" Type="http://schemas.openxmlformats.org/officeDocument/2006/relationships/hyperlink" Target="https://bio-kompleks.ru/catalog/vsya_produktsiya/raketa-udobrenie-dlya-plodovykh-derevev-kolyshki/" TargetMode="External"/><Relationship Id="rId671" Type="http://schemas.openxmlformats.org/officeDocument/2006/relationships/hyperlink" Target="https://bio-kompleks.ru/catalog/vsya_produktsiya/raketa-udobrenie-mineralnoe-osennee-dlya-plodovykh-kolyshki/" TargetMode="External"/><Relationship Id="rId672" Type="http://schemas.openxmlformats.org/officeDocument/2006/relationships/hyperlink" Target="https://organic-mix.ru/catalog/udobrenie-dlya-vinograda-organik-miks-7-kg-vedro/" TargetMode="External"/><Relationship Id="rId673" Type="http://schemas.openxmlformats.org/officeDocument/2006/relationships/hyperlink" Target="https://organic-mix.ru/catalog/udobrenie-dlya-kostochkovykh-cherrigarden-organik-miks-7-kg/" TargetMode="External"/><Relationship Id="rId674" Type="http://schemas.openxmlformats.org/officeDocument/2006/relationships/hyperlink" Target="https://organic-mix.ru/catalog/udobrenie-dlya-semechkovykh-eplgarden-organik-miks-25-kg/" TargetMode="External"/><Relationship Id="rId675" Type="http://schemas.openxmlformats.org/officeDocument/2006/relationships/hyperlink" Target="https://organic-mix.ru/catalog/eliksir-1-dlya-vinograda-900-ml-organik-miks-new/" TargetMode="External"/><Relationship Id="rId676" Type="http://schemas.openxmlformats.org/officeDocument/2006/relationships/hyperlink" Target="https://organic-mix.ru/catalog/eliksir-1-dlya-plodovykh-derevev-5-l-organik-miks-new/" TargetMode="External"/><Relationship Id="rId677" Type="http://schemas.openxmlformats.org/officeDocument/2006/relationships/hyperlink" Target="https://www.bashinkom.ru/products/ojz/GumiOmiPlodovyederevyaikustarniki1kg" TargetMode="External"/><Relationship Id="rId678" Type="http://schemas.openxmlformats.org/officeDocument/2006/relationships/hyperlink" Target="https://aminosil.ru/vitamini-universalniye-osennie-v-forme-granul" TargetMode="External"/><Relationship Id="rId679" Type="http://schemas.openxmlformats.org/officeDocument/2006/relationships/hyperlink" Target="https://aminosil.ru/vitamini-universalniye-osennie-v-forme-kontsentra" TargetMode="External"/><Relationship Id="rId680" Type="http://schemas.openxmlformats.org/officeDocument/2006/relationships/hyperlink" Target="https://bio-kompleks.ru/catalog/vsya_produktsiya/bio_kompleks_omu_osen_universalnoe_tm_biosha/" TargetMode="External"/><Relationship Id="rId681" Type="http://schemas.openxmlformats.org/officeDocument/2006/relationships/hyperlink" Target="https://bio-kompleks.ru/catalog/vsya_produktsiya/bio_kompleks_udobrenie_organicheskoe_osennee_tm_udobryasha/" TargetMode="External"/><Relationship Id="rId682" Type="http://schemas.openxmlformats.org/officeDocument/2006/relationships/hyperlink" Target="https://bio-kompleks.ru/catalog/vsya_produktsiya/bio_kompleks_tm_listoriya_osen_professionalnoe_mineralnoe_udobrenie_npk_0_36_24/" TargetMode="External"/><Relationship Id="rId683" Type="http://schemas.openxmlformats.org/officeDocument/2006/relationships/hyperlink" Target="https://bio-kompleks.ru/catalog/vsya_produktsiya/biokokteyl-osenniy/" TargetMode="External"/><Relationship Id="rId684" Type="http://schemas.openxmlformats.org/officeDocument/2006/relationships/hyperlink" Target="https://bio-kompleks.ru/catalog/vsya_produktsiya/raketa-udobrenie-mineralnoe-osennee-dlya-plodovykh-kolyshki/" TargetMode="External"/><Relationship Id="rId685" Type="http://schemas.openxmlformats.org/officeDocument/2006/relationships/hyperlink" Target="https://organic-mix.ru/catalog/morskoy-kokteyl-vodorastvorimyy-osenniy-600-gr-organik-miks/" TargetMode="External"/><Relationship Id="rId686" Type="http://schemas.openxmlformats.org/officeDocument/2006/relationships/hyperlink" Target="https://organic-mix.ru/catalog/udobrenie-dlya-gazona-osen-organik-miks-7-kg-vedro/" TargetMode="External"/><Relationship Id="rId687" Type="http://schemas.openxmlformats.org/officeDocument/2006/relationships/hyperlink" Target="https://organic-mix.ru/catalog/udobrenie-osennee-organik-miks-850-gr/" TargetMode="External"/><Relationship Id="rId688" Type="http://schemas.openxmlformats.org/officeDocument/2006/relationships/hyperlink" Target="https://organic-mix.ru/catalog/eliksir-1-osenniy-900-ml-organik-miks/" TargetMode="External"/><Relationship Id="rId689" Type="http://schemas.openxmlformats.org/officeDocument/2006/relationships/hyperlink" Target="https://www.bashinkom.ru/products/ojz/GumiOmiOsenniy1kg" TargetMode="External"/><Relationship Id="rId690" Type="http://schemas.openxmlformats.org/officeDocument/2006/relationships/hyperlink" Target="https://www.bashinkom.ru/products/ojz/GumiOmiOsenniygranulirovannyy" TargetMode="External"/><Relationship Id="rId691" Type="http://schemas.openxmlformats.org/officeDocument/2006/relationships/hyperlink" Target="https://www.bashinkom.ru/products/prodecor/PROBIOGRANULYPGPROsennieNPK158MEPGPRbakterii" TargetMode="External"/><Relationship Id="rId692" Type="http://schemas.openxmlformats.org/officeDocument/2006/relationships/hyperlink" Target="https://bio-kompleks.ru/catalog/vsya_produktsiya/bio_kompleks_omu_vesna_leto_universalnoe_tm_biosha/" TargetMode="External"/><Relationship Id="rId693" Type="http://schemas.openxmlformats.org/officeDocument/2006/relationships/hyperlink" Target="https://organic-mix.ru/catalog/udobrenie-vesenee-organik-miks-850-gr/" TargetMode="External"/><Relationship Id="rId694" Type="http://schemas.openxmlformats.org/officeDocument/2006/relationships/hyperlink" Target="https://organic-mix.ru/catalog/udobrenie-dlya-gazona-organik-miks-25-kg/" TargetMode="External"/><Relationship Id="rId695" Type="http://schemas.openxmlformats.org/officeDocument/2006/relationships/hyperlink" Target="https://organic-mix.ru/catalog/eliksir-1-vesenniy-900-ml-organik-miks-new/" TargetMode="External"/><Relationship Id="rId696" Type="http://schemas.openxmlformats.org/officeDocument/2006/relationships/hyperlink" Target="https://www.bashinkom.ru/products/ojz/VesenniyGumiOMI1kg" TargetMode="External"/><Relationship Id="rId697" Type="http://schemas.openxmlformats.org/officeDocument/2006/relationships/hyperlink" Target="https://www.bashinkom.ru/products/ojz/UdobreniegranulirovannoeprolongirovannoeVesennie08kg" TargetMode="External"/><Relationship Id="rId698" Type="http://schemas.openxmlformats.org/officeDocument/2006/relationships/hyperlink" Target="https://www.bashinkom.ru/products/prodecor/PROBIOGRANULYPGPRVesennieNPK725MEPGPRbakterii" TargetMode="External"/><Relationship Id="rId699" Type="http://schemas.openxmlformats.org/officeDocument/2006/relationships/hyperlink" Target="https://bio-kompleks.ru/catalog/vsya_produktsiya/biokokteyl_dlya_kapusty_tm_vitaminus/" TargetMode="External"/><Relationship Id="rId700" Type="http://schemas.openxmlformats.org/officeDocument/2006/relationships/hyperlink" Target="https://organic-mix.ru/catalog/udobrenie-dlya-kapusty-850-gr/" TargetMode="External"/><Relationship Id="rId701" Type="http://schemas.openxmlformats.org/officeDocument/2006/relationships/hyperlink" Target="https://bio-kompleks.ru/catalog/vsya_produktsiya/raketa-udobrenie-dlya-dekorativnykh-kultur-kolyshki/" TargetMode="External"/><Relationship Id="rId702" Type="http://schemas.openxmlformats.org/officeDocument/2006/relationships/hyperlink" Target="https://www.bashinkom.ru/products/ojz/DEKORATIVNYEKUSTARNIKIGumiOmi1kg" TargetMode="External"/><Relationship Id="rId703" Type="http://schemas.openxmlformats.org/officeDocument/2006/relationships/hyperlink" Target="https://www.bashinkom.ru/products/ojz/GumiOmiDekorativnyekustarnikiiderevya08kg" TargetMode="External"/><Relationship Id="rId704" Type="http://schemas.openxmlformats.org/officeDocument/2006/relationships/hyperlink" Target="https://www.bashinkom.ru/products/prodecor/PROBIOGRANULYPGPRDekorativnyekustarnikiNPK575MEPGPRbakterii" TargetMode="External"/><Relationship Id="rId705" Type="http://schemas.openxmlformats.org/officeDocument/2006/relationships/hyperlink" Target="https://aminosil.ru/vitamini-dlya-ovoschei-granulah" TargetMode="External"/><Relationship Id="rId706" Type="http://schemas.openxmlformats.org/officeDocument/2006/relationships/hyperlink" Target="https://aminosil.ru/vitamini-dlya-ovoschei-v-forme-kontsentrata" TargetMode="External"/><Relationship Id="rId707" Type="http://schemas.openxmlformats.org/officeDocument/2006/relationships/hyperlink" Target="https://aminosil.ru/vitamini-dlya-rassadi-v-granulah" TargetMode="External"/><Relationship Id="rId708" Type="http://schemas.openxmlformats.org/officeDocument/2006/relationships/hyperlink" Target="https://aminosil.ru/vitamini-dlya-ovoschei-i-rassadi-v-forme-gelya" TargetMode="External"/><Relationship Id="rId709" Type="http://schemas.openxmlformats.org/officeDocument/2006/relationships/hyperlink" Target="https://bio-kompleks.ru/catalog/vsya_produktsiya/bio_kompleks_ovoshchi_bum/" TargetMode="External"/><Relationship Id="rId710" Type="http://schemas.openxmlformats.org/officeDocument/2006/relationships/hyperlink" Target="https://bio-kompleks.ru/catalog/vsya_produktsiya/bio_kompleks_tm_listoriya_ovoshchi_professionalnoe_mineralnoe_udobrenie_npk_6_18_37/" TargetMode="External"/><Relationship Id="rId711" Type="http://schemas.openxmlformats.org/officeDocument/2006/relationships/hyperlink" Target="https://bio-kompleks.ru/catalog/vsya_produktsiya/biokokteyl-dlya-vsekh-vidov-zeleni-tm-biosha/" TargetMode="External"/><Relationship Id="rId712" Type="http://schemas.openxmlformats.org/officeDocument/2006/relationships/hyperlink" Target="https://bio-kompleks.ru/catalog/vsya_produktsiya/biokokteyl-dlya-komnatnoy-zeleni-tm-vitaminus/" TargetMode="External"/><Relationship Id="rId713" Type="http://schemas.openxmlformats.org/officeDocument/2006/relationships/hyperlink" Target="https://bio-kompleks.ru/catalog/vsya_produktsiya/nutrivant-plyus-ovoshchnoy-npk-6-18-37-professionalnoe-kompleksnoe-udobrenie/" TargetMode="External"/><Relationship Id="rId714" Type="http://schemas.openxmlformats.org/officeDocument/2006/relationships/hyperlink" Target="https://organic-mix.ru/catalog/udobrenie-dlya-ovoshchey-belgiyskaya-seriya/" TargetMode="External"/><Relationship Id="rId715" Type="http://schemas.openxmlformats.org/officeDocument/2006/relationships/hyperlink" Target="https://organic-mix.ru/catalog/eliksir-1-dlya-ovoshchey-900-ml-new/" TargetMode="External"/><Relationship Id="rId716" Type="http://schemas.openxmlformats.org/officeDocument/2006/relationships/hyperlink" Target="https://organic-mix.ru/catalog/eliksir-1-dlya-ovoshchey-900-ml-organik-miks/" TargetMode="External"/><Relationship Id="rId717" Type="http://schemas.openxmlformats.org/officeDocument/2006/relationships/hyperlink" Target="https://www.bashinkom.ru/products/ojz/BOGATYYOvoshchiYAgodyZelenzhidkoekompleksnoebioaktivirovanoeudobrenie05l" TargetMode="External"/><Relationship Id="rId718" Type="http://schemas.openxmlformats.org/officeDocument/2006/relationships/hyperlink" Target="https://www.bashinkom.ru/products/ojz/GumiOMIUNIVERSALOvoshchiYAgodyTSvety07kg" TargetMode="External"/><Relationship Id="rId719" Type="http://schemas.openxmlformats.org/officeDocument/2006/relationships/hyperlink" Target="https://organic-mix.ru/catalog/udobrenie-dlya-lukovichnykh-organik-miks-7-kg-vedro/" TargetMode="External"/><Relationship Id="rId720" Type="http://schemas.openxmlformats.org/officeDocument/2006/relationships/hyperlink" Target="https://organic-mix.ru/catalog/eliksir-1-dlya-tyulpanov-i-lukovichnykh-tsvetov-900-ml-organik-miks-new/" TargetMode="External"/><Relationship Id="rId721" Type="http://schemas.openxmlformats.org/officeDocument/2006/relationships/hyperlink" Target="https://www.bashinkom.ru/products/ojz/LukovichnyeiKlubnelukovichnyetsvetyGumiOMI50g" TargetMode="External"/></Relationships>
</file>

<file path=xl/worksheets/sheet1.xml><?xml version="1.0" encoding="utf-8"?>
<x:worksheet xmlns:x="http://schemas.openxmlformats.org/spreadsheetml/2006/main">
  <x:sheetPr>
    <x:tabColor rgb="FF163D30"/>
  </x:sheetPr>
  <x:sheetViews>
    <x:sheetView showGridLines="0" workbookViewId="0">
      <x:pane ySplit="5" topLeftCell="A6" activePane="bottomLeft" state="frozen"/>
    </x:sheetView>
  </x:sheetViews>
  <x:sheetFormatPr defaultRowHeight="15"/>
  <x:cols>
    <x:col min="1" max="1" width="25" hidden="0" customWidth="1"/>
    <x:col min="2" max="2" width="18" hidden="0" customWidth="1"/>
    <x:col min="3" max="3" width="18" hidden="0" customWidth="1"/>
    <x:col min="4" max="4" width="21" hidden="0" customWidth="1"/>
    <x:col min="5" max="5" width="22" hidden="0" customWidth="1"/>
    <x:col min="6" max="6" width="3" hidden="0" customWidth="1"/>
    <x:col min="7" max="7" width="75" hidden="0" customWidth="1"/>
  </x:cols>
  <x:sheetData>
    <x:row r="1" ht="34" customHeight="1">
      <x:c r="A1" s="4" t="str">
        <x:v>GardenSpa · сравнение пяти каталогов</x:v>
      </x:c>
      <x:c r="B1" s="4"/>
      <x:c r="C1" s="4"/>
      <x:c r="D1" s="4"/>
      <x:c r="E1" s="4"/>
      <x:c r="F1" s="4"/>
      <x:c r="G1" s="4"/>
    </x:row>
    <x:row r="2" ht="26" customHeight="1">
      <x:c r="A2" s="3" t="str">
        <x:v>Срез открытых каталогов на 9 сентября 2026 года. Исследование ассортимента, не инструкция по применению.</x:v>
      </x:c>
      <x:c r="B2" s="3"/>
      <x:c r="C2" s="3"/>
      <x:c r="D2" s="3"/>
      <x:c r="E2" s="3"/>
      <x:c r="F2" s="3"/>
      <x:c r="G2" s="3"/>
    </x:row>
    <x:row r="3" ht="26" customHeight="1">
      <x:c r="A3" s="6" t="str">
        <x:v>Главный вывод: уверенные совпадения есть, но большинство средств сходны только по части состава или задаче.</x:v>
      </x:c>
      <x:c r="B3" s="6"/>
      <x:c r="C3" s="6"/>
      <x:c r="D3" s="6"/>
      <x:c r="E3" s="6"/>
      <x:c r="F3" s="6"/>
      <x:c r="G3" s="6"/>
    </x:row>
    <x:row r="4" ht="26" customHeight="1">
      <x:c r="A4" s="3"/>
      <x:c r="B4" s="3"/>
      <x:c r="C4" s="3"/>
      <x:c r="D4" s="3"/>
      <x:c r="E4" s="3"/>
      <x:c r="F4" s="3"/>
      <x:c r="G4" s="3"/>
    </x:row>
    <x:row r="5" ht="40" customHeight="1">
      <x:c r="A5" s="15" t="str">
        <x:v>Каталог</x:v>
      </x:c>
      <x:c r="B5" s="15" t="str">
        <x:v>Карточек собрано</x:v>
      </x:c>
      <x:c r="C5" s="15" t="str">
        <x:v>Позиций в реестре</x:v>
      </x:c>
      <x:c r="D5" s="15" t="str">
        <x:v>Для растений / почвы</x:v>
      </x:c>
      <x:c r="E5" s="15" t="str">
        <x:v>С кодом сопоставления</x:v>
      </x:c>
      <x:c r="F5" s="3"/>
      <x:c r="G5" s="18" t="str">
        <x:v>Разделы и источники</x:v>
      </x:c>
    </x:row>
    <x:row r="6" ht="32" customHeight="1">
      <x:c r="A6" s="3" t="str">
        <x:v>Аминосил</x:v>
      </x:c>
      <x:c r="B6" s="8" t="n">
        <x:f>SUMIF('Каталог'!$B$6:$B$794,A6,'Каталог'!$J$6:$J$794)</x:f>
        <x:v>62</x:v>
      </x:c>
      <x:c r="C6" s="8" t="n">
        <x:f>COUNTIF('Каталог'!$B$6:$B$794,A6)</x:f>
        <x:v>62</x:v>
      </x:c>
      <x:c r="D6" s="8" t="n">
        <x:f>COUNTIFS('Каталог'!$B$6:$B$794,A6,'Каталог'!$D$6:$D$794,"Средство для растений/почвы")</x:f>
        <x:v>62</x:v>
      </x:c>
      <x:c r="E6" s="8" t="n">
        <x:f>COUNTIFS('Каталог'!$B$6:$B$794,A6,'Каталог'!$F$6:$F$794,"&lt;&gt;—")</x:f>
        <x:v>62</x:v>
      </x:c>
      <x:c r="F6" s="3"/>
      <x:c r="G6" s="3" t="str">
        <x:v>https://aminosil.ru/</x:v>
      </x:c>
    </x:row>
    <x:row r="7" ht="32" customHeight="1">
      <x:c r="A7" s="3" t="str">
        <x:v>Био-комплекс</x:v>
      </x:c>
      <x:c r="B7" s="8" t="n">
        <x:f>SUMIF('Каталог'!$B$6:$B$794,A7,'Каталог'!$J$6:$J$794)</x:f>
        <x:v>188</x:v>
      </x:c>
      <x:c r="C7" s="8" t="n">
        <x:f>COUNTIF('Каталог'!$B$6:$B$794,A7)</x:f>
        <x:v>187</x:v>
      </x:c>
      <x:c r="D7" s="8" t="n">
        <x:f>COUNTIFS('Каталог'!$B$6:$B$794,A7,'Каталог'!$D$6:$D$794,"Средство для растений/почвы")</x:f>
        <x:v>177</x:v>
      </x:c>
      <x:c r="E7" s="8" t="n">
        <x:f>COUNTIFS('Каталог'!$B$6:$B$794,A7,'Каталог'!$F$6:$F$794,"&lt;&gt;—")</x:f>
        <x:v>152</x:v>
      </x:c>
      <x:c r="F7" s="3"/>
      <x:c r="G7" s="3" t="str">
        <x:v>https://bio-kompleks.ru/catalog/vsya_produktsiya/</x:v>
      </x:c>
    </x:row>
    <x:row r="8" ht="32" customHeight="1">
      <x:c r="A8" s="3" t="str">
        <x:v>5сезонов</x:v>
      </x:c>
      <x:c r="B8" s="8" t="n">
        <x:f>SUMIF('Каталог'!$B$6:$B$794,A8,'Каталог'!$J$6:$J$794)</x:f>
        <x:v>17</x:v>
      </x:c>
      <x:c r="C8" s="8" t="n">
        <x:f>COUNTIF('Каталог'!$B$6:$B$794,A8)</x:f>
        <x:v>9</x:v>
      </x:c>
      <x:c r="D8" s="8" t="n">
        <x:f>COUNTIFS('Каталог'!$B$6:$B$794,A8,'Каталог'!$D$6:$D$794,"Средство для растений/почвы")</x:f>
        <x:v>9</x:v>
      </x:c>
      <x:c r="E8" s="8" t="n">
        <x:f>COUNTIFS('Каталог'!$B$6:$B$794,A8,'Каталог'!$F$6:$F$794,"&lt;&gt;—")</x:f>
        <x:v>9</x:v>
      </x:c>
      <x:c r="F8" s="3"/>
      <x:c r="G8" s="3" t="str">
        <x:v>https://5-sezonov.ru/</x:v>
      </x:c>
    </x:row>
    <x:row r="9" ht="32" customHeight="1">
      <x:c r="A9" s="3" t="str">
        <x:v>Органик Микс</x:v>
      </x:c>
      <x:c r="B9" s="8" t="n">
        <x:f>SUMIF('Каталог'!$B$6:$B$794,A9,'Каталог'!$J$6:$J$794)</x:f>
        <x:v>569</x:v>
      </x:c>
      <x:c r="C9" s="8" t="n">
        <x:f>COUNTIF('Каталог'!$B$6:$B$794,A9)</x:f>
        <x:v>268</x:v>
      </x:c>
      <x:c r="D9" s="8" t="n">
        <x:f>COUNTIFS('Каталог'!$B$6:$B$794,A9,'Каталог'!$D$6:$D$794,"Средство для растений/почвы")</x:f>
        <x:v>170</x:v>
      </x:c>
      <x:c r="E9" s="8" t="n">
        <x:f>COUNTIFS('Каталог'!$B$6:$B$794,A9,'Каталог'!$F$6:$F$794,"&lt;&gt;—")</x:f>
        <x:v>148</x:v>
      </x:c>
      <x:c r="F9" s="3"/>
      <x:c r="G9" s="3" t="str">
        <x:v>https://organic-mix.ru/catalog/</x:v>
      </x:c>
    </x:row>
    <x:row r="10" ht="32" customHeight="1">
      <x:c r="A10" s="3" t="str">
        <x:v>БашИнком</x:v>
      </x:c>
      <x:c r="B10" s="8" t="n">
        <x:f>SUMIF('Каталог'!$B$6:$B$794,A10,'Каталог'!$J$6:$J$794)</x:f>
        <x:v>276</x:v>
      </x:c>
      <x:c r="C10" s="8" t="n">
        <x:f>COUNTIF('Каталог'!$B$6:$B$794,A10)</x:f>
        <x:v>263</x:v>
      </x:c>
      <x:c r="D10" s="8" t="n">
        <x:f>COUNTIFS('Каталог'!$B$6:$B$794,A10,'Каталог'!$D$6:$D$794,"Средство для растений/почвы")</x:f>
        <x:v>226</x:v>
      </x:c>
      <x:c r="E10" s="8" t="n">
        <x:f>COUNTIFS('Каталог'!$B$6:$B$794,A10,'Каталог'!$F$6:$F$794,"&lt;&gt;—")</x:f>
        <x:v>195</x:v>
      </x:c>
      <x:c r="F10" s="3"/>
      <x:c r="G10" s="3" t="str">
        <x:v>https://www.bashinkom.ru/products/</x:v>
      </x:c>
    </x:row>
    <x:row r="11" ht="46" customHeight="1">
      <x:c r="A11" s="19" t="str">
        <x:v>Итого</x:v>
      </x:c>
      <x:c r="B11" s="20" t="n">
        <x:f>SUM(B6:B10)</x:f>
        <x:v>1112</x:v>
      </x:c>
      <x:c r="C11" s="20" t="n">
        <x:f>SUM(C6:C10)</x:f>
        <x:v>789</x:v>
      </x:c>
      <x:c r="D11" s="20" t="n">
        <x:f>SUM(D6:D10)</x:f>
        <x:v>644</x:v>
      </x:c>
      <x:c r="E11" s="20" t="n">
        <x:f>SUM(E6:E10)</x:f>
        <x:v>566</x:v>
      </x:c>
      <x:c r="F11" s="3"/>
      <x:c r="G11" s="3" t="str">
        <x:v>У БашИнкома включены ОЖЗ, АВЗ и PRO#ДЕКОР; ветеринарные и пищевые направления не исследовались.</x:v>
      </x:c>
    </x:row>
    <x:row r="12" ht="26" customHeight="1">
      <x:c r="A12" s="3"/>
      <x:c r="B12" s="3"/>
      <x:c r="C12" s="3"/>
      <x:c r="D12" s="3"/>
      <x:c r="E12" s="3"/>
      <x:c r="F12" s="3"/>
      <x:c r="G12" s="3"/>
    </x:row>
    <x:row r="13" ht="26" customHeight="1">
      <x:c r="A13" s="19" t="str">
        <x:v>Как пользоваться</x:v>
      </x:c>
      <x:c r="B13" s="19"/>
      <x:c r="C13" s="19"/>
      <x:c r="D13" s="19"/>
      <x:c r="E13" s="19"/>
      <x:c r="F13" s="19"/>
      <x:c r="G13" s="19"/>
    </x:row>
    <x:row r="14" ht="38" customHeight="1">
      <x:c r="A14" s="3" t="str">
        <x:v>1. Начните с листа «Сопоставления»: зелёные A — близкая основа; B — сходные компоненты; жёлтые C — лишь общая задача.</x:v>
      </x:c>
      <x:c r="B14" s="3"/>
      <x:c r="C14" s="3"/>
      <x:c r="D14" s="3"/>
      <x:c r="E14" s="3"/>
      <x:c r="F14" s="3"/>
      <x:c r="G14" s="3"/>
    </x:row>
    <x:row r="15" ht="38" customHeight="1">
      <x:c r="A15" s="3" t="str">
        <x:v>2. На листе «Каталог» найдите товар по названию. На листе «Участники групп» фильтр по коду Gxx/Cxx покажет полный список кандидатов из разных компаний.</x:v>
      </x:c>
      <x:c r="B15" s="3"/>
      <x:c r="C15" s="3"/>
      <x:c r="D15" s="3"/>
      <x:c r="E15" s="3"/>
      <x:c r="F15" s="3"/>
      <x:c r="G15" s="3"/>
    </x:row>
    <x:row r="16" ht="38" customHeight="1">
      <x:c r="A16" s="3" t="str">
        <x:v>3. Для практической замены откройте исходную карточку и актуальную этикетку: нужны культура, цель, действующий компонент/штамм, концентрация, форма, доза и регламент.</x:v>
      </x:c>
      <x:c r="B16" s="3"/>
      <x:c r="C16" s="3"/>
      <x:c r="D16" s="3"/>
      <x:c r="E16" s="3"/>
      <x:c r="F16" s="3"/>
      <x:c r="G16" s="3"/>
    </x:row>
    <x:row r="17" ht="38" customHeight="1">
      <x:c r="A17" s="3" t="str">
        <x:v>4. Профессиональные товары и сторонние бренды у продавца помечены отдельно. Наличие товара в каталоге не доказывает допуск для личного хозяйства или наличие на складе.</x:v>
      </x:c>
      <x:c r="B17" s="3"/>
      <x:c r="C17" s="3"/>
      <x:c r="D17" s="3"/>
      <x:c r="E17" s="3"/>
      <x:c r="F17" s="3"/>
      <x:c r="G17" s="3"/>
    </x:row>
    <x:row r="18" ht="26" customHeight="1">
      <x:c r="A18" s="3"/>
      <x:c r="B18" s="3"/>
      <x:c r="C18" s="3"/>
      <x:c r="D18" s="3"/>
      <x:c r="E18" s="3"/>
      <x:c r="F18" s="3"/>
      <x:c r="G18" s="3"/>
    </x:row>
    <x:row r="19" ht="26" customHeight="1">
      <x:c r="A19" s="19" t="str">
        <x:v>Охват и честные ограничения</x:v>
      </x:c>
      <x:c r="B19" s="19"/>
      <x:c r="C19" s="19"/>
      <x:c r="D19" s="19"/>
      <x:c r="E19" s="19"/>
      <x:c r="F19" s="19"/>
      <x:c r="G19" s="19"/>
    </x:row>
    <x:row r="20" ht="50" customHeight="1">
      <x:c r="A20" s="3" t="str">
        <x:v>Собраны публично доступные ссылки каталогов: 17 страниц Органик Микс, 5 страниц раздела «Вся продукция» Био-комплекса, каталог Аминосила, витрина 5сезонов и три растительных направления БашИнкома. Это не закрытая выгрузка всех артикулов компаний.</x:v>
      </x:c>
      <x:c r="B20" s="3"/>
      <x:c r="C20" s="3"/>
      <x:c r="D20" s="3"/>
      <x:c r="E20" s="3"/>
      <x:c r="F20" s="3"/>
      <x:c r="G20" s="3"/>
    </x:row>
    <x:row r="21" ht="50" customHeight="1">
      <x:c r="A21" s="3" t="str">
        <x:v>Фасовки Органик Микс объединены по связям вариантов на сайте. У других компаний объединены однозначные повторы названия/формулы. Разные культуры, формы и профессиональные линии сохранены отдельно. Часть одинаковых формул может остаться разными позициями.</x:v>
      </x:c>
      <x:c r="B21" s="3"/>
      <x:c r="C21" s="3"/>
      <x:c r="D21" s="3"/>
      <x:c r="E21" s="3"/>
      <x:c r="F21" s="3"/>
      <x:c r="G21" s="3"/>
    </x:row>
    <x:row r="22" ht="50" customHeight="1">
      <x:c r="A22" s="3" t="str">
        <x:v>В каталоге сохранены наборы, хозяйственные средства, книги, семена и инвентарь. Они не выдаются за самостоятельные препараты для обработки растений. Семена, питание животных, БАДы и промышленные продукты вне растительных разделов не обследовались.</x:v>
      </x:c>
      <x:c r="B22" s="3"/>
      <x:c r="C22" s="3"/>
      <x:c r="D22" s="3"/>
      <x:c r="E22" s="3"/>
      <x:c r="F22" s="3"/>
      <x:c r="G22" s="3"/>
    </x:row>
    <x:row r="23" ht="50" customHeight="1">
      <x:c r="A23" s="3" t="str">
        <x:v>У 5сезонов 17 карточек объединены в 9 семейств. Часть состава удалось прочитать только на изображениях; полный количественный состав, штаммы и титры многих средств не раскрыты. Такие сопоставления предварительные.</x:v>
      </x:c>
      <x:c r="B23" s="3"/>
      <x:c r="C23" s="3"/>
      <x:c r="D23" s="3"/>
      <x:c r="E23" s="3"/>
      <x:c r="F23" s="3"/>
      <x:c r="G23" s="3"/>
    </x:row>
    <x:row r="24" ht="50" customHeight="1">
      <x:c r="A24" s="3" t="str">
        <x:v>Часть страниц Аминосила прочитана через веб-поиск; его индекс мог обновляться раньше даты исследования. Составы остальных доступных карточек извлечены из текущего HTML. Описания некоторых наборов пусты. Это отмечено в реестре.</x:v>
      </x:c>
      <x:c r="B24" s="3"/>
      <x:c r="C24" s="3"/>
      <x:c r="D24" s="3"/>
      <x:c r="E24" s="3"/>
      <x:c r="F24" s="3"/>
      <x:c r="G24" s="3"/>
    </x:row>
    <x:row r="25" ht="50" customHeight="1">
      <x:c r="A25" s="3" t="str">
        <x:v>Составы сокращены до основы и важных показателей. Проценты сухого вещества, элементы N/P/K, их оксиды, г/л и титры не приводились к одной базе без данных. Рекламные обещания эффективности не оценивались и не приняты как доказательство.</x:v>
      </x:c>
      <x:c r="B25" s="3"/>
      <x:c r="C25" s="3"/>
      <x:c r="D25" s="3"/>
      <x:c r="E25" s="3"/>
      <x:c r="F25" s="3"/>
      <x:c r="G25" s="3"/>
    </x:row>
    <x:row r="26" ht="50" customHeight="1">
      <x:c r="A26" s="3" t="str">
        <x:v>67 групп — это не 67 доказанных взаимозаменяемых формул. Один товар может входить в несколько групп. Отсутствие сопоставления означает недостаток подтверждения в этом обзоре, а не отсутствие аналога на рынке.</x:v>
      </x:c>
      <x:c r="B26" s="3"/>
      <x:c r="C26" s="3"/>
      <x:c r="D26" s="3"/>
      <x:c r="E26" s="3"/>
      <x:c r="F26" s="3"/>
      <x:c r="G26" s="3"/>
    </x:row>
    <x:row r="27" ht="50" customHeight="1">
      <x:c r="A27" s="3" t="str">
        <x:v>Для GardenSpa безопаснее хранить «близкий состав» отдельно от «альтернатива по задаче». Нельзя переносить график, дозировку, период без дождя или срок ожидания между средствами только по этой таблице.</x:v>
      </x:c>
      <x:c r="B27" s="3"/>
      <x:c r="C27" s="3"/>
      <x:c r="D27" s="3"/>
      <x:c r="E27" s="3"/>
      <x:c r="F27" s="3"/>
      <x:c r="G27" s="3"/>
    </x:row>
    <x:row r="28" ht="50" customHeight="1">
      <x:c r="A28" s="3" t="str">
        <x:v>Ограничение понятия «все»: проверен весь обнаруженный ассортимент выбранных публичных разделов, но не гарантированы скрытые товары, региональные предложения, снятые позиции и товары только на маркетплейсах. Для исчерпывающей базы нужны выгрузки производителей.</x:v>
      </x:c>
      <x:c r="B28" s="3"/>
      <x:c r="C28" s="3"/>
      <x:c r="D28" s="3"/>
      <x:c r="E28" s="3"/>
      <x:c r="F28" s="3"/>
      <x:c r="G28" s="3"/>
    </x:row>
    <x:row r="29" ht="26" customHeight="1">
      <x:c r="A29" s="3"/>
      <x:c r="B29" s="3"/>
      <x:c r="C29" s="3"/>
      <x:c r="D29" s="3"/>
      <x:c r="E29" s="3"/>
      <x:c r="F29" s="3"/>
      <x:c r="G29" s="3"/>
    </x:row>
    <x:row r="30" ht="26" customHeight="1">
      <x:c r="A30" s="19" t="str">
        <x:v>Наиболее близкие совпадения</x:v>
      </x:c>
      <x:c r="B30" s="19"/>
      <x:c r="C30" s="19"/>
      <x:c r="D30" s="19"/>
      <x:c r="E30" s="19"/>
      <x:c r="F30" s="19"/>
      <x:c r="G30" s="19"/>
    </x:row>
    <x:row r="31" ht="35" customHeight="1">
      <x:c r="A31" s="3" t="str">
        <x:v>G03 • Рыбная мука: Био-комплекс ↔ Органик Микс. По карточкам у обоих N 7%, P 7%, Ca 8%; состав сырья и фракция требуют сверки.</x:v>
      </x:c>
      <x:c r="B31" s="3"/>
      <x:c r="C31" s="3"/>
      <x:c r="D31" s="3"/>
      <x:c r="E31" s="3"/>
      <x:c r="F31" s="3"/>
      <x:c r="G31" s="3"/>
    </x:row>
    <x:row r="32" ht="35" customHeight="1">
      <x:c r="A32" s="3" t="str">
        <x:v>G04 • Кровяная мука: Био-комплекс ↔ Органик Микс. У обоих N 13%; это близкая сырьевая основа, не гарантия одинаковой скорости действия.</x:v>
      </x:c>
      <x:c r="B32" s="3"/>
      <x:c r="C32" s="3"/>
      <x:c r="D32" s="3"/>
      <x:c r="E32" s="3"/>
      <x:c r="F32" s="3"/>
      <x:c r="G32" s="3"/>
    </x:row>
    <x:row r="33" ht="35" customHeight="1">
      <x:c r="A33" s="3" t="str">
        <x:v>G05 • Костная мука: Био-комплекс ↔ Органик Микс. Основа одна, но заявленные показатели фосфора существенно отличаются.</x:v>
      </x:c>
      <x:c r="B33" s="3"/>
      <x:c r="C33" s="3"/>
      <x:c r="D33" s="3"/>
      <x:c r="E33" s="3"/>
      <x:c r="F33" s="3"/>
      <x:c r="G33" s="3"/>
    </x:row>
    <x:row r="34" ht="35" customHeight="1">
      <x:c r="A34" s="3" t="str">
        <x:v>G06 • Зеленое калийное мыло: Био-комплекс ↔ БашИнком. Общая основа — калийные соли жирных кислот; концентрации требуют уточнения.</x:v>
      </x:c>
      <x:c r="B34" s="3"/>
      <x:c r="C34" s="3"/>
      <x:c r="D34" s="3"/>
      <x:c r="E34" s="3"/>
      <x:c r="F34" s="3"/>
      <x:c r="G34" s="3"/>
    </x:row>
    <x:row r="35" ht="35" customHeight="1">
      <x:c r="A35" s="3" t="str">
        <x:v>G02 • Гумат калия: Био-комплекс ↔ Гуми-Калийный БашИнком. Общая химическая группа, но формуляции и база процентов не идентичны.</x:v>
      </x:c>
      <x:c r="B35" s="3"/>
      <x:c r="C35" s="3"/>
      <x:c r="D35" s="3"/>
      <x:c r="E35" s="3"/>
      <x:c r="F35" s="3"/>
      <x:c r="G35" s="3"/>
    </x:row>
    <x:row r="36" ht="26" customHeight="1">
      <x:c r="A36" s="3"/>
      <x:c r="B36" s="3"/>
      <x:c r="C36" s="3"/>
      <x:c r="D36" s="3"/>
      <x:c r="E36" s="3"/>
      <x:c r="F36" s="3"/>
      <x:c r="G36" s="3"/>
    </x:row>
    <x:row r="37" ht="26" customHeight="1">
      <x:c r="A37" s="3"/>
      <x:c r="B37" s="3"/>
      <x:c r="C37" s="3"/>
      <x:c r="D37" s="3"/>
      <x:c r="E37" s="3"/>
      <x:c r="F37" s="3"/>
      <x:c r="G37" s="3"/>
    </x:row>
    <x:row r="38" ht="26" customHeight="1">
      <x:c r="A38" s="3"/>
      <x:c r="B38" s="3"/>
      <x:c r="C38" s="3"/>
      <x:c r="D38" s="3"/>
      <x:c r="E38" s="3"/>
      <x:c r="F38" s="3"/>
      <x:c r="G38" s="3"/>
    </x:row>
    <x:row r="39" ht="26" customHeight="1">
      <x:c r="A39" s="3"/>
      <x:c r="B39" s="3"/>
      <x:c r="C39" s="3"/>
      <x:c r="D39" s="3"/>
      <x:c r="E39" s="3"/>
      <x:c r="F39" s="3"/>
      <x:c r="G39" s="3"/>
    </x:row>
    <x:row r="40" ht="26" customHeight="1">
      <x:c r="A40" s="3"/>
      <x:c r="B40" s="3"/>
      <x:c r="C40" s="3"/>
      <x:c r="D40" s="3"/>
      <x:c r="E40" s="3"/>
      <x:c r="F40" s="3"/>
      <x:c r="G40" s="3"/>
    </x:row>
    <x:row r="41" ht="26" customHeight="1">
      <x:c r="A41" s="3"/>
      <x:c r="B41" s="3"/>
      <x:c r="C41" s="3"/>
      <x:c r="D41" s="3"/>
      <x:c r="E41" s="3"/>
      <x:c r="F41" s="3"/>
      <x:c r="G41" s="3"/>
    </x:row>
    <x:row r="42" ht="26" customHeight="1">
      <x:c r="A42" s="3"/>
      <x:c r="B42" s="3"/>
      <x:c r="C42" s="3"/>
      <x:c r="D42" s="3"/>
      <x:c r="E42" s="3"/>
      <x:c r="F42" s="3"/>
      <x:c r="G42" s="3"/>
    </x:row>
  </x:sheetData>
  <x:mergeCells>
    <x:mergeCell ref="A1:G1"/>
    <x:mergeCell ref="A2:G2"/>
    <x:mergeCell ref="A3:G3"/>
    <x:mergeCell ref="A13:G13"/>
    <x:mergeCell ref="A14:G14"/>
    <x:mergeCell ref="A15:G15"/>
    <x:mergeCell ref="A16:G16"/>
    <x:mergeCell ref="A17:G17"/>
    <x:mergeCell ref="A19:G19"/>
    <x:mergeCell ref="A20:G20"/>
    <x:mergeCell ref="A21:G21"/>
    <x:mergeCell ref="A22:G22"/>
    <x:mergeCell ref="A23:G23"/>
    <x:mergeCell ref="A24:G24"/>
    <x:mergeCell ref="A25:G25"/>
    <x:mergeCell ref="A26:G26"/>
    <x:mergeCell ref="A27:G27"/>
    <x:mergeCell ref="A28:G28"/>
    <x:mergeCell ref="A30:G30"/>
    <x:mergeCell ref="A31:G31"/>
    <x:mergeCell ref="A32:G32"/>
    <x:mergeCell ref="A33:G33"/>
    <x:mergeCell ref="A34:G34"/>
    <x:mergeCell ref="A35:G35"/>
  </x:mergeCells>
  <x:hyperlinks>
    <x:hyperlink xmlns:ns0="http://schemas.openxmlformats.org/officeDocument/2006/relationships" ref="G6" ns0:id="rId1"/>
    <x:hyperlink xmlns:ns1="http://schemas.openxmlformats.org/officeDocument/2006/relationships" ref="G7" ns1:id="rId2"/>
    <x:hyperlink xmlns:ns2="http://schemas.openxmlformats.org/officeDocument/2006/relationships" ref="G8" ns2:id="rId3"/>
    <x:hyperlink xmlns:ns3="http://schemas.openxmlformats.org/officeDocument/2006/relationships" ref="G9" ns3:id="rId4"/>
    <x:hyperlink xmlns:ns4="http://schemas.openxmlformats.org/officeDocument/2006/relationships" ref="G10" ns4:id="rId5"/>
  </x:hyperlinks>
  <x:pageMargins left="0.7" right="0.7" top="0.75" bottom="0.75" header="0.3" footer="0.3"/>
</x:worksheet>
</file>

<file path=xl/worksheets/sheet2.xml><?xml version="1.0" encoding="utf-8"?>
<x:worksheet xmlns:x="http://schemas.openxmlformats.org/spreadsheetml/2006/main">
  <x:sheetPr>
    <x:tabColor rgb="FF163D30"/>
  </x:sheetPr>
  <x:sheetViews>
    <x:sheetView showGridLines="0" workbookViewId="0">
      <x:pane xSplit="2" ySplit="5" topLeftCell="C6" activePane="bottomRight" state="frozen"/>
    </x:sheetView>
  </x:sheetViews>
  <x:sheetFormatPr defaultRowHeight="15"/>
  <x:cols>
    <x:col min="1" max="1" width="9" hidden="0" customWidth="1"/>
    <x:col min="2" max="2" width="32" hidden="0" customWidth="1"/>
    <x:col min="3" max="3" width="25" hidden="0" customWidth="1"/>
    <x:col min="4" max="4" width="46" hidden="0" customWidth="1"/>
    <x:col min="5" max="5" width="46" hidden="0" customWidth="1"/>
    <x:col min="6" max="6" width="40" hidden="0" customWidth="1"/>
    <x:col min="7" max="7" width="46" hidden="0" customWidth="1"/>
    <x:col min="8" max="8" width="48" hidden="0" customWidth="1"/>
    <x:col min="9" max="9" width="78" hidden="0" customWidth="1"/>
    <x:col min="10" max="10" width="13" hidden="0" customWidth="1"/>
  </x:cols>
  <x:sheetData>
    <x:row r="1" ht="34" customHeight="1">
      <x:c r="A1" s="4" t="str">
        <x:v>Карта сходства: состав, назначение и ограничения</x:v>
      </x:c>
      <x:c r="B1" s="4"/>
      <x:c r="C1" s="4"/>
      <x:c r="D1" s="4"/>
      <x:c r="E1" s="4"/>
      <x:c r="F1" s="4"/>
      <x:c r="G1" s="4"/>
      <x:c r="H1" s="4"/>
      <x:c r="I1" s="4"/>
      <x:c r="J1" s="4"/>
    </x:row>
    <x:row r="2" ht="26" customHeight="1">
      <x:c r="A2" s="3" t="str">
        <x:v>A — близкая основа; B — похожие компоненты; C — только общая задача. Ни один уровень не означает замену один к одному.</x:v>
      </x:c>
      <x:c r="B2" s="3"/>
      <x:c r="C2" s="3"/>
      <x:c r="D2" s="3"/>
      <x:c r="E2" s="3"/>
      <x:c r="F2" s="3"/>
      <x:c r="G2" s="3"/>
      <x:c r="H2" s="3"/>
      <x:c r="I2" s="3"/>
      <x:c r="J2" s="3"/>
    </x:row>
    <x:row r="3" ht="26" customHeight="1">
      <x:c r="A3" s="3" t="str">
        <x:v>Показаны до 3 представителей компании на группу. Полный список — лист «Участники групп», фильтр по коду. Подробные составы и источники — лист «Каталог», ID Pxxxx.</x:v>
      </x:c>
      <x:c r="B3" s="3"/>
      <x:c r="C3" s="3"/>
      <x:c r="D3" s="3"/>
      <x:c r="E3" s="3"/>
      <x:c r="F3" s="3"/>
      <x:c r="G3" s="3"/>
      <x:c r="H3" s="3"/>
      <x:c r="I3" s="3"/>
      <x:c r="J3" s="3"/>
    </x:row>
    <x:row r="4" ht="26" customHeight="1">
      <x:c r="A4" s="3"/>
      <x:c r="B4" s="3"/>
      <x:c r="C4" s="3"/>
      <x:c r="D4" s="3"/>
      <x:c r="E4" s="3"/>
      <x:c r="F4" s="3"/>
      <x:c r="G4" s="3"/>
      <x:c r="H4" s="3"/>
      <x:c r="I4" s="3"/>
      <x:c r="J4" s="3"/>
    </x:row>
    <x:row r="5" ht="40" customHeight="1">
      <x:c r="A5" s="15" t="str">
        <x:v>Код</x:v>
      </x:c>
      <x:c r="B5" s="15" t="str">
        <x:v>Группа / задача</x:v>
      </x:c>
      <x:c r="C5" s="15" t="str">
        <x:v>Уровень сходства</x:v>
      </x:c>
      <x:c r="D5" s="15" t="str">
        <x:v>Аминосил</x:v>
      </x:c>
      <x:c r="E5" s="15" t="str">
        <x:v>Био-комплекс</x:v>
      </x:c>
      <x:c r="F5" s="15" t="str">
        <x:v>5сезонов</x:v>
      </x:c>
      <x:c r="G5" s="15" t="str">
        <x:v>Органик Микс</x:v>
      </x:c>
      <x:c r="H5" s="15" t="str">
        <x:v>БашИнком</x:v>
      </x:c>
      <x:c r="I5" s="15" t="str">
        <x:v>Ключевые различия / ограничения</x:v>
      </x:c>
      <x:c r="J5" s="15" t="str">
        <x:v>Позиций в группе</x:v>
      </x:c>
    </x:row>
    <x:row r="6" ht="100" customHeight="1">
      <x:c r="A6" s="6" t="str">
        <x:v>G01</x:v>
      </x:c>
      <x:c r="B6" s="6" t="str">
        <x:v>Аминокислотные подкормки и антистресс</x:v>
      </x:c>
      <x:c r="C6" s="16" t="str">
        <x:v>B · похожие компоненты</x:v>
      </x:c>
      <x:c r="D6" s="6" t="str">
        <x:v>P0001 · Витамины для атмосферных тилландсий в форме спрея
P0002 · Витамины для газона в гранулах
P0003 · Витамины для газонов в форме концентрата
Ещё 59: фильтр G01 в каталоге</x:v>
      </x:c>
      <x:c r="E6" s="6" t="str">
        <x:v>P0096 · БИО-комплекс Сила аминокислот, ТМ Удобряша
P0176 · Биостим Рост, стимулятор роста
P0177 · Биостим Старт, стимулятор для семян и рассады
Ещё 2: фильтр G01 в каталоге</x:v>
      </x:c>
      <x:c r="F6" s="6" t="str">
        <x:v>P0252 · MAXI Гумус</x:v>
      </x:c>
      <x:c r="G6" s="6" t="str">
        <x:v>P0259 · MixCaps СУПЕР-РОСТ - стимулятор роста в капсулах 60 шт
P0261 · Аминорост для рассады
P0345 · Органический стимулятор роста АминоРост</x:v>
      </x:c>
      <x:c r="H6" s="6" t="str">
        <x:v>P0570 · Бияк АминоХит</x:v>
      </x:c>
      <x:c r="I6" s="6" t="str">
        <x:v>Аминокислоты общие, но NPK, происхождение, добавки и концентрации различны. АминоХит — профессиональная линия. У MAXI часть данных только на инфографике.</x:v>
      </x:c>
      <x:c r="J6" s="6" t="n">
        <x:f>COUNTIF('Участники групп'!$A$5:$A$724,A6)</x:f>
        <x:v>72</x:v>
      </x:c>
    </x:row>
    <x:row r="7" ht="100" customHeight="1">
      <x:c r="A7" s="9" t="str">
        <x:v>G02</x:v>
      </x:c>
      <x:c r="B7" s="9" t="str">
        <x:v>Гуматы калия</x:v>
      </x:c>
      <x:c r="C7" s="17" t="str">
        <x:v>A · близкая основа</x:v>
      </x:c>
      <x:c r="D7" s="9" t="str">
        <x:v>Не подтверждено</x:v>
      </x:c>
      <x:c r="E7" s="9" t="str">
        <x:v>P0068 · БИО-комплекс Гумат Калия
P0181 · Гумат калия "СУФЛЕР", удобрение для овощных
P0182 · Гумат калия "СУФЛЕР", удобрение для плодово-ягодных
Ещё 1: фильтр G02 в каталоге</x:v>
      </x:c>
      <x:c r="F7" s="9" t="str">
        <x:v>Не подтверждено</x:v>
      </x:c>
      <x:c r="G7" s="9" t="str">
        <x:v>Не подтверждено</x:v>
      </x:c>
      <x:c r="H7" s="9" t="str">
        <x:v>P0606 · ГУМИ–Калийный
P0675 · Олимпийский Гуми-30 М, ПС (калийный)</x:v>
      </x:c>
      <x:c r="I7" s="9" t="str">
        <x:v>Совпадает класс основы: калиевые гуматы. Концентрации и микроэлементы различаются; проценты сухого вещества нельзя напрямую сравнивать с жидкостью.</x:v>
      </x:c>
      <x:c r="J7" s="9" t="n">
        <x:f>COUNTIF('Участники групп'!$A$5:$A$724,A7)</x:f>
        <x:v>6</x:v>
      </x:c>
    </x:row>
    <x:row r="8" ht="72" customHeight="1">
      <x:c r="A8" s="6" t="str">
        <x:v>G03</x:v>
      </x:c>
      <x:c r="B8" s="6" t="str">
        <x:v>Рыбная мука</x:v>
      </x:c>
      <x:c r="C8" s="17" t="str">
        <x:v>A · близкая основа</x:v>
      </x:c>
      <x:c r="D8" s="6" t="str">
        <x:v>Не подтверждено</x:v>
      </x:c>
      <x:c r="E8" s="6" t="str">
        <x:v>P0093 · БИО-комплекс Рыбная мука</x:v>
      </x:c>
      <x:c r="F8" s="6" t="str">
        <x:v>Не подтверждено</x:v>
      </x:c>
      <x:c r="G8" s="6" t="str">
        <x:v>P0359 · Рыбная мука</x:v>
      </x:c>
      <x:c r="H8" s="6" t="str">
        <x:v>Не подтверждено</x:v>
      </x:c>
      <x:c r="I8" s="6" t="str">
        <x:v>У обоих N 7%, P 7%, Ca 8% по карточкам. Это одно из наиболее близких совпадений; сырье, фракция и дополнительные показатели не полностью стандартизованы.</x:v>
      </x:c>
      <x:c r="J8" s="6" t="n">
        <x:f>COUNTIF('Участники групп'!$A$5:$A$724,A8)</x:f>
        <x:v>2</x:v>
      </x:c>
    </x:row>
    <x:row r="9" ht="72" customHeight="1">
      <x:c r="A9" s="9" t="str">
        <x:v>G04</x:v>
      </x:c>
      <x:c r="B9" s="9" t="str">
        <x:v>Кровяная мука</x:v>
      </x:c>
      <x:c r="C9" s="17" t="str">
        <x:v>A · близкая основа</x:v>
      </x:c>
      <x:c r="D9" s="9" t="str">
        <x:v>Не подтверждено</x:v>
      </x:c>
      <x:c r="E9" s="9" t="str">
        <x:v>P0075 · БИО-комплекс Кровяная мука</x:v>
      </x:c>
      <x:c r="F9" s="9" t="str">
        <x:v>Не подтверждено</x:v>
      </x:c>
      <x:c r="G9" s="9" t="str">
        <x:v>P0308 · Кровяная мука</x:v>
      </x:c>
      <x:c r="H9" s="9" t="str">
        <x:v>Не подтверждено</x:v>
      </x:c>
      <x:c r="I9" s="9" t="str">
        <x:v>Одинаковый тип сырья; N 13% у обоих. Прочие элементы и фактическая скорость высвобождения могут различаться.</x:v>
      </x:c>
      <x:c r="J9" s="9" t="n">
        <x:f>COUNTIF('Участники групп'!$A$5:$A$724,A9)</x:f>
        <x:v>2</x:v>
      </x:c>
    </x:row>
    <x:row r="10" ht="72" customHeight="1">
      <x:c r="A10" s="6" t="str">
        <x:v>G05</x:v>
      </x:c>
      <x:c r="B10" s="6" t="str">
        <x:v>Костная мука</x:v>
      </x:c>
      <x:c r="C10" s="17" t="str">
        <x:v>A · близкая основа</x:v>
      </x:c>
      <x:c r="D10" s="6" t="str">
        <x:v>Не подтверждено</x:v>
      </x:c>
      <x:c r="E10" s="6" t="str">
        <x:v>P0074 · БИО-комплекс Костная мука</x:v>
      </x:c>
      <x:c r="F10" s="6" t="str">
        <x:v>Не подтверждено</x:v>
      </x:c>
      <x:c r="G10" s="6" t="str">
        <x:v>P0307 · Костная мука</x:v>
      </x:c>
      <x:c r="H10" s="6" t="str">
        <x:v>Не подтверждено</x:v>
      </x:c>
      <x:c r="I10" s="6" t="str">
        <x:v>Общая основа, но НЕ одинаковая концентрация: Био-комплекс указывает P до 30%, Органик Микс P 15%. Нормы нельзя переносить один к одному.</x:v>
      </x:c>
      <x:c r="J10" s="6" t="n">
        <x:f>COUNTIF('Участники групп'!$A$5:$A$724,A10)</x:f>
        <x:v>2</x:v>
      </x:c>
    </x:row>
    <x:row r="11" ht="114" customHeight="1">
      <x:c r="A11" s="9" t="str">
        <x:v>G06</x:v>
      </x:c>
      <x:c r="B11" s="9" t="str">
        <x:v>Мыльные средства: соли жирных кислот</x:v>
      </x:c>
      <x:c r="C11" s="16" t="str">
        <x:v>B · похожие компоненты</x:v>
      </x:c>
      <x:c r="D11" s="9" t="str">
        <x:v>Не подтверждено</x:v>
      </x:c>
      <x:c r="E11" s="9" t="str">
        <x:v>P0185 · ДАЧНЫЙ ПОМОЩНИК, Зеленое мыло (калиевое), пульверизатор</x:v>
      </x:c>
      <x:c r="F11" s="9" t="str">
        <x:v>Не подтверждено</x:v>
      </x:c>
      <x:c r="G11" s="9" t="str">
        <x:v>P0284 · БИО ХАНТЕР для комнатных растений СПРЕЙ - от насекомых-вредителей
P0285 · БИО ХАНТЕР для плодовых деревьев - от насекомых-вредителей
P0286 · БИО ХАНТЕР для теплиц - от насекомых-вредителей
Ещё 3: фильтр G06 в каталоге</x:v>
      </x:c>
      <x:c r="H11" s="9" t="str">
        <x:v>P0674 · Мыло–зеленое, растительное, калийное «Ура! На Дачу!»</x:v>
      </x:c>
      <x:c r="I11" s="9" t="str">
        <x:v>Два зеленых мыла содержат калийные соли жирных кислот. У Био Хантера/Стоптлина раскрыты соли жирных кислот без полного количественного состава: близкий класс, не точная копия.</x:v>
      </x:c>
      <x:c r="J11" s="9" t="n">
        <x:f>COUNTIF('Участники групп'!$A$5:$A$724,A11)</x:f>
        <x:v>8</x:v>
      </x:c>
    </x:row>
    <x:row r="12" ht="72" customHeight="1">
      <x:c r="A12" s="6" t="str">
        <x:v>G07</x:v>
      </x:c>
      <x:c r="B12" s="6" t="str">
        <x:v>Средства на основе серы</x:v>
      </x:c>
      <x:c r="C12" s="16" t="str">
        <x:v>B · похожие компоненты</x:v>
      </x:c>
      <x:c r="D12" s="6" t="str">
        <x:v>Не подтверждено</x:v>
      </x:c>
      <x:c r="E12" s="6" t="str">
        <x:v>P0226 · Сера 400, КС от болезней и вредит. (мучн. роса, парша, клещ)</x:v>
      </x:c>
      <x:c r="F12" s="6" t="str">
        <x:v>Не подтверждено</x:v>
      </x:c>
      <x:c r="G12" s="6" t="str">
        <x:v>Не подтверждено</x:v>
      </x:c>
      <x:c r="H12" s="6" t="str">
        <x:v>P0710 · ТиоБаш
P0711 · ТиоБаш</x:v>
      </x:c>
      <x:c r="I12" s="6" t="str">
        <x:v>Общий компонент — сера. Формуляции и дополнительные компоненты различны. Сравнивать только по актуальной этикетке, культуре и регламенту.</x:v>
      </x:c>
      <x:c r="J12" s="6" t="n">
        <x:f>COUNTIF('Участники групп'!$A$5:$A$724,A12)</x:f>
        <x:v>3</x:v>
      </x:c>
    </x:row>
    <x:row r="13" ht="72" customHeight="1">
      <x:c r="A13" s="9" t="str">
        <x:v>G08</x:v>
      </x:c>
      <x:c r="B13" s="9" t="str">
        <x:v>Сапропель</x:v>
      </x:c>
      <x:c r="C13" s="17" t="str">
        <x:v>A · близкая основа</x:v>
      </x:c>
      <x:c r="D13" s="9" t="str">
        <x:v>Не подтверждено</x:v>
      </x:c>
      <x:c r="E13" s="9" t="str">
        <x:v>P0094 · БИО-комплекс Сапропель Суперконцентрат</x:v>
      </x:c>
      <x:c r="F13" s="9" t="str">
        <x:v>P0256 · MAXI Сапропель</x:v>
      </x:c>
      <x:c r="G13" s="9" t="str">
        <x:v>Не подтверждено</x:v>
      </x:c>
      <x:c r="H13" s="9" t="str">
        <x:v>Не подтверждено</x:v>
      </x:c>
      <x:c r="I13" s="9" t="str">
        <x:v>Одинаковый природный материал. Суперконцентрат и необогащенный сапропель различаются обработкой и показателями; у MAXI нет количественной спецификации элементов.</x:v>
      </x:c>
      <x:c r="J13" s="9" t="n">
        <x:f>COUNTIF('Участники групп'!$A$5:$A$724,A13)</x:f>
        <x:v>2</x:v>
      </x:c>
    </x:row>
    <x:row r="14" ht="100" customHeight="1">
      <x:c r="A14" s="6" t="str">
        <x:v>G09</x:v>
      </x:c>
      <x:c r="B14" s="6" t="str">
        <x:v>Биогумус и гумусное питание</x:v>
      </x:c>
      <x:c r="C14" s="16" t="str">
        <x:v>B · похожие компоненты</x:v>
      </x:c>
      <x:c r="D14" s="6" t="str">
        <x:v>Не подтверждено</x:v>
      </x:c>
      <x:c r="E14" s="6" t="str">
        <x:v>P0066 · БИО-комплекс БиоГумус</x:v>
      </x:c>
      <x:c r="F14" s="6" t="str">
        <x:v>Не подтверждено</x:v>
      </x:c>
      <x:c r="G14" s="6" t="str">
        <x:v>P0289 · Биогумус для домашних растений</x:v>
      </x:c>
      <x:c r="H14" s="6" t="str">
        <x:v>P0636 · Дар Плодородия – концентрат биоактивированного гумусного удобрения
P0699 · СоткА чернозема гумуса плодородия
P0752 · Хозяин–Батюшка – гумусный органический обогатитель и улучшитель почвы</x:v>
      </x:c>
      <x:c r="I14" s="6" t="str">
        <x:v>Близкая гумусная направленность, но жидкая вытяжка и твердый органический улучшитель почвы — разные формы и нормы.</x:v>
      </x:c>
      <x:c r="J14" s="6" t="n">
        <x:f>COUNTIF('Участники групп'!$A$5:$A$724,A14)</x:f>
        <x:v>5</x:v>
      </x:c>
    </x:row>
    <x:row r="15" ht="114" customHeight="1">
      <x:c r="A15" s="9" t="str">
        <x:v>G10</x:v>
      </x:c>
      <x:c r="B15" s="9" t="str">
        <x:v>Укоренение и помощь после пересадки</x:v>
      </x:c>
      <x:c r="C15" s="5" t="str">
        <x:v>C · только задача</x:v>
      </x:c>
      <x:c r="D15" s="9" t="str">
        <x:v>Не подтверждено</x:v>
      </x:c>
      <x:c r="E15" s="9" t="str">
        <x:v>P0125 · БИО-комплекс ЭКБИ 1 для семян и корней рассады
P0126 · БИО-комплекс ЭКБИ 2 для клубней, луковиц и корней саженцев
P0177 · Биостим Старт, стимулятор для семян и рассады
Ещё 1: фильтр G10 в каталоге</x:v>
      </x:c>
      <x:c r="F15" s="9" t="str">
        <x:v>P0253 · MAXI Корень
P0257 · MAXI Урожай</x:v>
      </x:c>
      <x:c r="G15" s="9" t="str">
        <x:v>P0346 · Органический укоренитель БиоКорень</x:v>
      </x:c>
      <x:c r="H15" s="9" t="str">
        <x:v>P0662 · КорнеСил Экстра
P0663 · Корнесил Экстра Универсальный
P0664 · Корнесил, Гуми-20 + МЭ</x:v>
      </x:c>
      <x:c r="I15" s="9" t="str">
        <x:v>БиоКорень основан на водорослевых экстрактах; КорнеСил — на гуматах, минералах и добавках. Одна задача не означает одинаковый механизм или замену стимулятора гормонального действия.</x:v>
      </x:c>
      <x:c r="J15" s="9" t="n">
        <x:f>COUNTIF('Участники групп'!$A$5:$A$724,A15)</x:f>
        <x:v>10</x:v>
      </x:c>
    </x:row>
    <x:row r="16" ht="100" customHeight="1">
      <x:c r="A16" s="6" t="str">
        <x:v>G11</x:v>
      </x:c>
      <x:c r="B16" s="6" t="str">
        <x:v>Ускорение компостирования</x:v>
      </x:c>
      <x:c r="C16" s="5" t="str">
        <x:v>C · только задача</x:v>
      </x:c>
      <x:c r="D16" s="6" t="str">
        <x:v>Не подтверждено</x:v>
      </x:c>
      <x:c r="E16" s="6" t="str">
        <x:v>P0067 · БИО-комплекс Бокаши
P0100 · БИО-комплекс СуперКомпост</x:v>
      </x:c>
      <x:c r="F16" s="6" t="str">
        <x:v>P0250 · MAXI 3 в 1</x:v>
      </x:c>
      <x:c r="G16" s="6" t="str">
        <x:v>P0390 · Ускоритель компостирования
P0393 · ШЕФ-КОМПОСТ</x:v>
      </x:c>
      <x:c r="H16" s="6" t="str">
        <x:v>P0649 · Компостин – ускоритель созревания компоста
P0650 · Компостин сухой
P0670 · Микробиологический препарат ТравоЗаквас
Ещё 1: фильтр G11 в каталоге</x:v>
      </x:c>
      <x:c r="I16" s="6" t="str">
        <x:v>Разные микроорганизмы и питательные субстраты. Стерня-12 предназначена для пожнивных остатков; ТравоЗаквас — для травяного настоя. Уточнять объект применения.</x:v>
      </x:c>
      <x:c r="J16" s="6" t="n">
        <x:f>COUNTIF('Участники групп'!$A$5:$A$724,A16)</x:f>
        <x:v>9</x:v>
      </x:c>
    </x:row>
    <x:row r="17" ht="72" customHeight="1">
      <x:c r="A17" s="9" t="str">
        <x:v>G12</x:v>
      </x:c>
      <x:c r="B17" s="9" t="str">
        <x:v>Микоризные инокулянты</x:v>
      </x:c>
      <x:c r="C17" s="16" t="str">
        <x:v>B · похожие компоненты</x:v>
      </x:c>
      <x:c r="D17" s="9" t="str">
        <x:v>Не подтверждено</x:v>
      </x:c>
      <x:c r="E17" s="9" t="str">
        <x:v>P0201 · Микорайз, биостимулятор на основе микоризы</x:v>
      </x:c>
      <x:c r="F17" s="9" t="str">
        <x:v>Не подтверждено</x:v>
      </x:c>
      <x:c r="G17" s="9" t="str">
        <x:v>Не подтверждено</x:v>
      </x:c>
      <x:c r="H17" s="9" t="str">
        <x:v>P0640 · Жидкая микориза Башинком
P0651 · Кормилица Микориза
P0652 · Кормилица Микориза Башкирская
Ещё 11: фильтр G12 в каталоге</x:v>
      </x:c>
      <x:c r="I17" s="9" t="str">
        <x:v>Общая микоризная технология; виды грибов, титры, носитель и совместимость с растением могут различаться. Профессиональные и любительские варианты разделены в каталоге.</x:v>
      </x:c>
      <x:c r="J17" s="9" t="n">
        <x:f>COUNTIF('Участники групп'!$A$5:$A$724,A17)</x:f>
        <x:v>15</x:v>
      </x:c>
    </x:row>
    <x:row r="18" ht="100" customHeight="1">
      <x:c r="A18" s="6" t="str">
        <x:v>G13</x:v>
      </x:c>
      <x:c r="B18" s="6" t="str">
        <x:v>Оздоровление почвы микроорганизмами</x:v>
      </x:c>
      <x:c r="C18" s="5" t="str">
        <x:v>C · только задача</x:v>
      </x:c>
      <x:c r="D18" s="6" t="str">
        <x:v>Не подтверждено</x:v>
      </x:c>
      <x:c r="E18" s="6" t="str">
        <x:v>P0067 · БИО-комплекс Бокаши
P0072 · БИО-комплекс Здоровая почва, ТМ Удобряша</x:v>
      </x:c>
      <x:c r="F18" s="6" t="str">
        <x:v>Не подтверждено</x:v>
      </x:c>
      <x:c r="G18" s="6" t="str">
        <x:v>Не подтверждено</x:v>
      </x:c>
      <x:c r="H18" s="6" t="str">
        <x:v>P0527 · 33 Богатыря почвооздоравливающий микробиологический препарат
P0528 · 33 Богатыря почвооздоравливающий микробиологический препарат
P0542 · БиоАзФК
Ещё 4: фильтр G13 в каталоге</x:v>
      </x:c>
      <x:c r="I18" s="6" t="str">
        <x:v>Сопоставление по задаче, не по одинаковому консорциуму. БиоАзФК относится прежде всего к мобилизации питания, триходерма — к другим функциям.</x:v>
      </x:c>
      <x:c r="J18" s="6" t="n">
        <x:f>COUNTIF('Участники групп'!$A$5:$A$724,A18)</x:f>
        <x:v>9</x:v>
      </x:c>
    </x:row>
    <x:row r="19" ht="72" customHeight="1">
      <x:c r="A19" s="9" t="str">
        <x:v>G14</x:v>
      </x:c>
      <x:c r="B19" s="9" t="str">
        <x:v>Защитные жмыхи для почвы</x:v>
      </x:c>
      <x:c r="C19" s="16" t="str">
        <x:v>B · похожие компоненты</x:v>
      </x:c>
      <x:c r="D19" s="9" t="str">
        <x:v>Не подтверждено</x:v>
      </x:c>
      <x:c r="E19" s="9" t="str">
        <x:v>P0072 · БИО-комплекс Здоровая почва, ТМ Удобряша</x:v>
      </x:c>
      <x:c r="F19" s="9" t="str">
        <x:v>Не подтверждено</x:v>
      </x:c>
      <x:c r="G19" s="9" t="str">
        <x:v>P0347 · ПОЧВОЧИСТ
P0351 · ПОЧВОЧИСТ палочки для Комнатных растений
P0352 · ПОЧВОЧИСТ палочки для Рассады</x:v>
      </x:c>
      <x:c r="H19" s="9" t="str">
        <x:v>Не подтверждено</x:v>
      </x:c>
      <x:c r="I19" s="9" t="str">
        <x:v>В сухом Почвочисте — ним, каранджа, кастор, махуа; в Здоровой почве — ним, рапс, горчица и грибы. Жидкий Почвочист исключен: другая раскрытая основа.</x:v>
      </x:c>
      <x:c r="J19" s="9" t="n">
        <x:f>COUNTIF('Участники групп'!$A$5:$A$724,A19)</x:f>
        <x:v>4</x:v>
      </x:c>
    </x:row>
    <x:row r="20" ht="72" customHeight="1">
      <x:c r="A20" s="6" t="str">
        <x:v>G15</x:v>
      </x:c>
      <x:c r="B20" s="6" t="str">
        <x:v>Бактериальные средства против гусениц</x:v>
      </x:c>
      <x:c r="C20" s="16" t="str">
        <x:v>B · похожие компоненты</x:v>
      </x:c>
      <x:c r="D20" s="6" t="str">
        <x:v>Не подтверждено</x:v>
      </x:c>
      <x:c r="E20" s="6" t="str">
        <x:v>Не подтверждено</x:v>
      </x:c>
      <x:c r="F20" s="6" t="str">
        <x:v>P0255 · MAXI Рост антигусеница с лепидоцидом</x:v>
      </x:c>
      <x:c r="G20" s="6" t="str">
        <x:v>P0303 · Гусеницам НЕТ - от гусениц</x:v>
      </x:c>
      <x:c r="H20" s="6" t="str">
        <x:v>P0595 · Гуми + БТБ Картофель +
P0718 · ТуринБаш, Ж
P0719 · ТуринБаш-Ж</x:v>
      </x:c>
      <x:c r="I20" s="6" t="str">
        <x:v>У Гусеницам НЕТ и ТуринБаш заявлен Bacillus thuringiensis, но штаммы/титры раскрыты по-разному. MAXI содержит лепидоцид по названию: сравнение предварительное, нужна этикетка.</x:v>
      </x:c>
      <x:c r="J20" s="6" t="n">
        <x:f>COUNTIF('Участники групп'!$A$5:$A$724,A20)</x:f>
        <x:v>5</x:v>
      </x:c>
    </x:row>
    <x:row r="21" ht="72" customHeight="1">
      <x:c r="A21" s="9" t="str">
        <x:v>G16</x:v>
      </x:c>
      <x:c r="B21" s="9" t="str">
        <x:v>Энтомопатогенные грибы</x:v>
      </x:c>
      <x:c r="C21" s="5" t="str">
        <x:v>C · только задача</x:v>
      </x:c>
      <x:c r="D21" s="9" t="str">
        <x:v>Не подтверждено</x:v>
      </x:c>
      <x:c r="E21" s="9" t="str">
        <x:v>P0072 · БИО-комплекс Здоровая почва, ТМ Удобряша</x:v>
      </x:c>
      <x:c r="F21" s="9" t="str">
        <x:v>P0251 · MAXI Гумат противоклещ с метаризином</x:v>
      </x:c>
      <x:c r="G21" s="9" t="str">
        <x:v>Не подтверждено</x:v>
      </x:c>
      <x:c r="H21" s="9" t="str">
        <x:v>P0571 · Боверикс
P0572 · Боверикс, Ж</x:v>
      </x:c>
      <x:c r="I21" s="9" t="str">
        <x:v>Beauveria и Metarhizium — НЕ один гриб. В Здоровой почве они часть смеси для почвы; Боверикс имеет собственный штамм и регламент. Это обзор механизма, не готовые замены.</x:v>
      </x:c>
      <x:c r="J21" s="9" t="n">
        <x:f>COUNTIF('Участники групп'!$A$5:$A$724,A21)</x:f>
        <x:v>4</x:v>
      </x:c>
    </x:row>
    <x:row r="22" ht="114" customHeight="1">
      <x:c r="A22" s="6" t="str">
        <x:v>G17</x:v>
      </x:c>
      <x:c r="B22" s="6" t="str">
        <x:v>Растительные масла и экстракты от вредителей</x:v>
      </x:c>
      <x:c r="C22" s="5" t="str">
        <x:v>C · только задача</x:v>
      </x:c>
      <x:c r="D22" s="6" t="str">
        <x:v>Не подтверждено</x:v>
      </x:c>
      <x:c r="E22" s="6" t="str">
        <x:v>P0076 · БИО-комплекс МАГ ПРЕМИУМ от вредителей, пульверизатор
P0077 · БИО-комплекс МАГ Средство от белокрылки
P0078 · БИО-комплекс МАГ Средство от паутинного клеща
Ещё 2: фильтр G17 в каталоге</x:v>
      </x:c>
      <x:c r="F22" s="6" t="str">
        <x:v>P0258 · MAXI Щит горные травы</x:v>
      </x:c>
      <x:c r="G22" s="6" t="str">
        <x:v>P0263 · АНТИТРИПСИН - от трипса
P0265 · АРОМАЩИТ для клубники
P0266 · АРОМАЩИТ для комнатных растений - препарат для профилактики, отпугивания,уничтожения вредителей
Ещё 19: фильтр G17 в каталоге</x:v>
      </x:c>
      <x:c r="H22" s="6" t="str">
        <x:v>Не подтверждено</x:v>
      </x:c>
      <x:c r="I22" s="6" t="str">
        <x:v>Составы существенно различаются: эфирные масла, цитрусовые компоненты, пиретрум и др. Нельзя переносить спектр, дозу и ограничения между средствами.</x:v>
      </x:c>
      <x:c r="J22" s="6" t="n">
        <x:f>COUNTIF('Участники групп'!$A$5:$A$724,A22)</x:f>
        <x:v>28</x:v>
      </x:c>
    </x:row>
    <x:row r="23" ht="72" customHeight="1">
      <x:c r="A23" s="9" t="str">
        <x:v>G18</x:v>
      </x:c>
      <x:c r="B23" s="9" t="str">
        <x:v>Кальциевое питание; вершинная гниль</x:v>
      </x:c>
      <x:c r="C23" s="5" t="str">
        <x:v>C · только задача</x:v>
      </x:c>
      <x:c r="D23" s="9" t="str">
        <x:v>Не подтверждено</x:v>
      </x:c>
      <x:c r="E23" s="9" t="str">
        <x:v>P0071 · БИО-комплекс Здоровая вершинка, ТМ МАГ
P0229 · Ультрамаг Кальций, для плодов</x:v>
      </x:c>
      <x:c r="F23" s="9" t="str">
        <x:v>Не подтверждено</x:v>
      </x:c>
      <x:c r="G23" s="9" t="str">
        <x:v>P0262 · АнтиВершинка</x:v>
      </x:c>
      <x:c r="H23" s="9" t="str">
        <x:v>P0551 · Бионекс-Кеми Жидкий NCa 7:10
P0582 · Богатый-Микро Кальций 1%</x:v>
      </x:c>
      <x:c r="I23" s="9" t="str">
        <x:v>МАГ: хелаты Ca и B + аминокислоты; Богатый-Микро: Ca 1% и микроэлементы; у АнтиВершинки кальций описан без полной спецификации. Вершинная гниль не равна грибковой инфекции.</x:v>
      </x:c>
      <x:c r="J23" s="9" t="n">
        <x:f>COUNTIF('Участники групп'!$A$5:$A$724,A23)</x:f>
        <x:v>5</x:v>
      </x:c>
    </x:row>
    <x:row r="24" ht="72" customHeight="1">
      <x:c r="A24" s="6" t="str">
        <x:v>G19</x:v>
      </x:c>
      <x:c r="B24" s="6" t="str">
        <x:v>Железо; железодефицитный хлороз</x:v>
      </x:c>
      <x:c r="C24" s="5" t="str">
        <x:v>C · только задача</x:v>
      </x:c>
      <x:c r="D24" s="6" t="str">
        <x:v>Не подтверждено</x:v>
      </x:c>
      <x:c r="E24" s="6" t="str">
        <x:v>P0230 · Ультрамаг Хелат Железа, от пожелтения листьев</x:v>
      </x:c>
      <x:c r="F24" s="6" t="str">
        <x:v>Не подтверждено</x:v>
      </x:c>
      <x:c r="G24" s="6" t="str">
        <x:v>P0264 · АнтиХлорозин</x:v>
      </x:c>
      <x:c r="H24" s="6" t="str">
        <x:v>P0561 · Биополимик -Fe
P0580 · Богатый–Микро Железо (Fe) 2% + микроэлементы</x:v>
      </x:c>
      <x:c r="I24" s="6" t="str">
        <x:v>Назначение близкое, формы железа и концентрации различаются/не полностью раскрыты. Не всякое пожелтение листьев вызвано железодефицитом.</x:v>
      </x:c>
      <x:c r="J24" s="6" t="n">
        <x:f>COUNTIF('Участники групп'!$A$5:$A$724,A24)</x:f>
        <x:v>4</x:v>
      </x:c>
    </x:row>
    <x:row r="25" ht="72" customHeight="1">
      <x:c r="A25" s="9" t="str">
        <x:v>G20</x:v>
      </x:c>
      <x:c r="B25" s="9" t="str">
        <x:v>Магниевое питание</x:v>
      </x:c>
      <x:c r="C25" s="5" t="str">
        <x:v>C · только задача</x:v>
      </x:c>
      <x:c r="D25" s="9" t="str">
        <x:v>Не подтверждено</x:v>
      </x:c>
      <x:c r="E25" s="9" t="str">
        <x:v>Не подтверждено</x:v>
      </x:c>
      <x:c r="F25" s="9" t="str">
        <x:v>Не подтверждено</x:v>
      </x:c>
      <x:c r="G25" s="9" t="str">
        <x:v>P0311 · Магний органический</x:v>
      </x:c>
      <x:c r="H25" s="9" t="str">
        <x:v>P0536 · Башполимик – NSMg
P0584 · Богатый-Микро Магний 1%</x:v>
      </x:c>
      <x:c r="I25" s="9" t="str">
        <x:v>Органик Микс: кизерит, MgO 26%; Богатый-Микро: магний 1%. Mg и MgO — разные единицы представления, прямое сравнение процентов неверно.</x:v>
      </x:c>
      <x:c r="J25" s="9" t="n">
        <x:f>COUNTIF('Участники групп'!$A$5:$A$724,A25)</x:f>
        <x:v>3</x:v>
      </x:c>
    </x:row>
    <x:row r="26" ht="72" customHeight="1">
      <x:c r="A26" s="6" t="str">
        <x:v>G21</x:v>
      </x:c>
      <x:c r="B26" s="6" t="str">
        <x:v>Медь/цинк: микроэлементные подкормки</x:v>
      </x:c>
      <x:c r="C26" s="5" t="str">
        <x:v>C · только задача</x:v>
      </x:c>
      <x:c r="D26" s="6" t="str">
        <x:v>Не подтверждено</x:v>
      </x:c>
      <x:c r="E26" s="6" t="str">
        <x:v>P0231 · Ультрамаг Хелат Меди, от скручивания листьев
P0232 · Ультрамаг Хелат Цинка, от пятнистости листьев</x:v>
      </x:c>
      <x:c r="F26" s="6" t="str">
        <x:v>Не подтверждено</x:v>
      </x:c>
      <x:c r="G26" s="6" t="str">
        <x:v>Не подтверждено</x:v>
      </x:c>
      <x:c r="H26" s="6" t="str">
        <x:v>P0537 · Башполимик -Cu
P0538 · Башполимик -Cu, Zn
P0565 · Биополимик-Zn
Ещё 3: фильтр G21 в каталоге</x:v>
      </x:c>
      <x:c r="I26" s="6" t="str">
        <x:v>Сопоставлять отдельно Cu и Zn, хелатор и содержание элемента. Медный купорос как защитное средство сюда не приравнивается.</x:v>
      </x:c>
      <x:c r="J26" s="6" t="n">
        <x:f>COUNTIF('Участники групп'!$A$5:$A$724,A26)</x:f>
        <x:v>8</x:v>
      </x:c>
    </x:row>
    <x:row r="27" ht="72" customHeight="1">
      <x:c r="A27" s="9" t="str">
        <x:v>G22</x:v>
      </x:c>
      <x:c r="B27" s="9" t="str">
        <x:v>Раскисление почвы</x:v>
      </x:c>
      <x:c r="C27" s="5" t="str">
        <x:v>C · только задача</x:v>
      </x:c>
      <x:c r="D27" s="9" t="str">
        <x:v>Не подтверждено</x:v>
      </x:c>
      <x:c r="E27" s="9" t="str">
        <x:v>P0099 · БИО-комплекс СуперКАЛЬЦИЙ, раскислитель, кальциево-магниевое удобрение</x:v>
      </x:c>
      <x:c r="F27" s="9" t="str">
        <x:v>Не подтверждено</x:v>
      </x:c>
      <x:c r="G27" s="9" t="str">
        <x:v>Не подтверждено</x:v>
      </x:c>
      <x:c r="H27" s="9" t="str">
        <x:v>P0693 · Раскислитель ИЗВЕСТЬ–ГУМИ с бором
P0694 · Раскислитель Известь–Гуми с бором,органоминеральное удобрение</x:v>
      </x:c>
      <x:c r="I27" s="9" t="str">
        <x:v>СуперКАЛЬЦИЙ: CaO 40% + MgO 26%; Известь-Гуми: карбонаты Ca/Mg, гумат и бор. Отличаются нейтрализующая способность и добавки; не кальциевая замена по листу.</x:v>
      </x:c>
      <x:c r="J27" s="9" t="n">
        <x:f>COUNTIF('Участники групп'!$A$5:$A$724,A27)</x:f>
        <x:v>3</x:v>
      </x:c>
    </x:row>
    <x:row r="28" ht="72" customHeight="1">
      <x:c r="A28" s="6" t="str">
        <x:v>G23</x:v>
      </x:c>
      <x:c r="B28" s="6" t="str">
        <x:v>Подкисление: разные объекты применения</x:v>
      </x:c>
      <x:c r="C28" s="5" t="str">
        <x:v>C · только задача</x:v>
      </x:c>
      <x:c r="D28" s="6" t="str">
        <x:v>Не подтверждено</x:v>
      </x:c>
      <x:c r="E28" s="6" t="str">
        <x:v>Не подтверждено</x:v>
      </x:c>
      <x:c r="F28" s="6" t="str">
        <x:v>Не подтверждено</x:v>
      </x:c>
      <x:c r="G28" s="6" t="str">
        <x:v>P0306 · Кислон для кислолюбивых растений</x:v>
      </x:c>
      <x:c r="H28" s="6" t="str">
        <x:v>P0695 · Регулятор кислотности "Радужный"
P0723 · ФитоКислинка</x:v>
      </x:c>
      <x:c r="I28" s="6" t="str">
        <x:v>Кислон рассчитан на почву; корректоры кислотности могут предназначаться для воды/рабочего раствора. Это соседние задачи, НЕ взаимозаменяемые средства.</x:v>
      </x:c>
      <x:c r="J28" s="6" t="n">
        <x:f>COUNTIF('Участники групп'!$A$5:$A$724,A28)</x:f>
        <x:v>3</x:v>
      </x:c>
    </x:row>
    <x:row r="29" ht="72" customHeight="1">
      <x:c r="A29" s="9" t="str">
        <x:v>G24</x:v>
      </x:c>
      <x:c r="B29" s="9" t="str">
        <x:v>Мука из морских организмов</x:v>
      </x:c>
      <x:c r="C29" s="16" t="str">
        <x:v>B · похожие компоненты</x:v>
      </x:c>
      <x:c r="D29" s="9" t="str">
        <x:v>Не подтверждено</x:v>
      </x:c>
      <x:c r="E29" s="9" t="str">
        <x:v>P0118 · БИО-комплекс Удобрение органическое Морское ассорти, ТМ Удобряша</x:v>
      </x:c>
      <x:c r="F29" s="9" t="str">
        <x:v>Не подтверждено</x:v>
      </x:c>
      <x:c r="G29" s="9" t="str">
        <x:v>P0337 · Морской коктейль сухой Органик Микс</x:v>
      </x:c>
      <x:c r="H29" s="9" t="str">
        <x:v>Не подтверждено</x:v>
      </x:c>
      <x:c r="I29" s="9" t="str">
        <x:v>Био-комплекс: морская мука + водоросли + микрофлора, N/P/K 5/20/7; сухой Морской коктейль: N/P/K 5/20/0. Жидкий и водорастворимый коктейли — другие продукты.</x:v>
      </x:c>
      <x:c r="J29" s="9" t="n">
        <x:f>COUNTIF('Участники групп'!$A$5:$A$724,A29)</x:f>
        <x:v>2</x:v>
      </x:c>
    </x:row>
    <x:row r="30" ht="86" customHeight="1">
      <x:c r="A30" s="6" t="str">
        <x:v>G25</x:v>
      </x:c>
      <x:c r="B30" s="6" t="str">
        <x:v>Биостимуляция: водорослевые продукты</x:v>
      </x:c>
      <x:c r="C30" s="5" t="str">
        <x:v>C · только задача</x:v>
      </x:c>
      <x:c r="D30" s="6" t="str">
        <x:v>Не подтверждено</x:v>
      </x:c>
      <x:c r="E30" s="6" t="str">
        <x:v>P0101 · БИО-комплекс Суспензия Хлореллы Концентрат
P0129 · БИО-комплекс Экстракт Кедра
P0130 · БИО-комплекс Экстракт Хвои
Ещё 1: фильтр G25 в каталоге</x:v>
      </x:c>
      <x:c r="F30" s="6" t="str">
        <x:v>Не подтверждено</x:v>
      </x:c>
      <x:c r="G30" s="6" t="str">
        <x:v>P0341 · Мука из водорослей
P0344 · Органический стимулятор иммунитета БиоТонус
P0424 · Энергетик для растений ФИШЭНЕРДЖИ</x:v>
      </x:c>
      <x:c r="H30" s="6" t="str">
        <x:v>Не подтверждено</x:v>
      </x:c>
      <x:c r="I30" s="6" t="str">
        <x:v>Хлорелла, морские водоросли, хвойные экстракты и рыбный гидролизат не имеют одинакового состава. Общее — заявленная биостимуляция; не замена лечебной обработке.</x:v>
      </x:c>
      <x:c r="J30" s="6" t="n">
        <x:f>COUNTIF('Участники групп'!$A$5:$A$724,A30)</x:f>
        <x:v>7</x:v>
      </x:c>
    </x:row>
    <x:row r="31" ht="100" customHeight="1">
      <x:c r="A31" s="9" t="str">
        <x:v>G26</x:v>
      </x:c>
      <x:c r="B31" s="9" t="str">
        <x:v>Преимущественно азотное питание</x:v>
      </x:c>
      <x:c r="C31" s="5" t="str">
        <x:v>C · только задача</x:v>
      </x:c>
      <x:c r="D31" s="9" t="str">
        <x:v>Не подтверждено</x:v>
      </x:c>
      <x:c r="E31" s="9" t="str">
        <x:v>P0075 · БИО-комплекс Кровяная мука</x:v>
      </x:c>
      <x:c r="F31" s="9" t="str">
        <x:v>Не подтверждено</x:v>
      </x:c>
      <x:c r="G31" s="9" t="str">
        <x:v>P0308 · Кровяная мука
P0309 · Ленивый азот
P0358 · Рогокопытный шрот
Ещё 1: фильтр G26 в каталоге</x:v>
      </x:c>
      <x:c r="H31" s="9" t="str">
        <x:v>P0547 · Бионекс-Кеми 2:40:27+1,2
P0556 · Бионекс-Кеми Жидкий NPK 21:4:4+МЭ
P0557 · Бионекс-Кеми Профи NPK + Mg 40:1,5:2+0,7+2
Ещё 2: фильтр G26 в каталоге</x:v>
      </x:c>
      <x:c r="I31" s="9" t="str">
        <x:v>Кровяная мука, шерсть, кукурузный продукт и минеральные удобрения отличаются скоростью высвобождения. Кукарука — продукт переработки кукурузы, НЕ куриный помет.</x:v>
      </x:c>
      <x:c r="J31" s="9" t="n">
        <x:f>COUNTIF('Участники групп'!$A$5:$A$724,A31)</x:f>
        <x:v>10</x:v>
      </x:c>
    </x:row>
    <x:row r="32" ht="72" customHeight="1">
      <x:c r="A32" s="6" t="str">
        <x:v>G27</x:v>
      </x:c>
      <x:c r="B32" s="6" t="str">
        <x:v>Преимущественно фосфорное питание</x:v>
      </x:c>
      <x:c r="C32" s="5" t="str">
        <x:v>C · только задача</x:v>
      </x:c>
      <x:c r="D32" s="6" t="str">
        <x:v>Не подтверждено</x:v>
      </x:c>
      <x:c r="E32" s="6" t="str">
        <x:v>P0074 · БИО-комплекс Костная мука
P0122 · БИО-комплекс Фосфоритная мука</x:v>
      </x:c>
      <x:c r="F32" s="6" t="str">
        <x:v>Не подтверждено</x:v>
      </x:c>
      <x:c r="G32" s="6" t="str">
        <x:v>P0307 · Костная мука</x:v>
      </x:c>
      <x:c r="H32" s="6" t="str">
        <x:v>P0547 · Бионекс-Кеми 2:40:27+1,2
P0554 · Бионекс-Кеми Жидкий NPK 10:30:0+ МЭ
P0630 · Гуми-Оми Фосфор</x:v>
      </x:c>
      <x:c r="I32" s="6" t="str">
        <x:v>Растворимость и скорость действия фосфорита, костной муки и растворимых удобрений различны. Выбор зависит от почвы и задачи.</x:v>
      </x:c>
      <x:c r="J32" s="6" t="n">
        <x:f>COUNTIF('Участники групп'!$A$5:$A$724,A32)</x:f>
        <x:v>6</x:v>
      </x:c>
    </x:row>
    <x:row r="33" ht="72" customHeight="1">
      <x:c r="A33" s="9" t="str">
        <x:v>G28</x:v>
      </x:c>
      <x:c r="B33" s="9" t="str">
        <x:v>Калийное питание</x:v>
      </x:c>
      <x:c r="C33" s="5" t="str">
        <x:v>C · только задача</x:v>
      </x:c>
      <x:c r="D33" s="9" t="str">
        <x:v>Не подтверждено</x:v>
      </x:c>
      <x:c r="E33" s="9" t="str">
        <x:v>P0073 · БИО-комплекс Зола подсолнечника</x:v>
      </x:c>
      <x:c r="F33" s="9" t="str">
        <x:v>Не подтверждено</x:v>
      </x:c>
      <x:c r="G33" s="9" t="str">
        <x:v>Не подтверждено</x:v>
      </x:c>
      <x:c r="H33" s="9" t="str">
        <x:v>P0612 · Гуми–Оми Калий</x:v>
      </x:c>
      <x:c r="I33" s="9" t="str">
        <x:v>Зола — многокомпонентный щелочной материал, а не эквивалент калийного удобрения. Гумат калия также не равен концентрированной калийной подкормке.</x:v>
      </x:c>
      <x:c r="J33" s="9" t="n">
        <x:f>COUNTIF('Участники групп'!$A$5:$A$724,A33)</x:f>
        <x:v>2</x:v>
      </x:c>
    </x:row>
    <x:row r="34" ht="72" customHeight="1">
      <x:c r="A34" s="6" t="str">
        <x:v>G29</x:v>
      </x:c>
      <x:c r="B34" s="6" t="str">
        <x:v>Прилипатели и растекатели</x:v>
      </x:c>
      <x:c r="C34" s="16" t="str">
        <x:v>B · похожие компоненты</x:v>
      </x:c>
      <x:c r="D34" s="6" t="str">
        <x:v>Не подтверждено</x:v>
      </x:c>
      <x:c r="E34" s="6" t="str">
        <x:v>Не подтверждено</x:v>
      </x:c>
      <x:c r="F34" s="6" t="str">
        <x:v>Не подтверждено</x:v>
      </x:c>
      <x:c r="G34" s="6" t="str">
        <x:v>P0354 · ПРИЛИПАЙКА - органический прилипатель-растекатель
P0355 · ПРИЛИПАЙКА в ампуле - органический биоприлипатель-растекатель</x:v>
      </x:c>
      <x:c r="H34" s="6" t="str">
        <x:v>P0544 · Биолипостим
P0567 · Биоприлипатель Биолипостим
P0568 · БиоПрилипатель Биолипостим
Ещё 1: фильтр G29 в каталоге</x:v>
      </x:c>
      <x:c r="I34" s="6" t="str">
        <x:v>Прилипайка и БиоЛипостим имеют полисахаридную составляющую; поверхностно-активные компоненты и концентрации различаются. КрасАдъюв — только функциональная альтернатива.</x:v>
      </x:c>
      <x:c r="J34" s="6" t="n">
        <x:f>COUNTIF('Участники групп'!$A$5:$A$724,A34)</x:f>
        <x:v>6</x:v>
      </x:c>
    </x:row>
    <x:row r="35" ht="114" customHeight="1">
      <x:c r="A35" s="9" t="str">
        <x:v>G30</x:v>
      </x:c>
      <x:c r="B35" s="9" t="str">
        <x:v>Средства против болезней: разные механизмы</x:v>
      </x:c>
      <x:c r="C35" s="5" t="str">
        <x:v>C · только задача</x:v>
      </x:c>
      <x:c r="D35" s="9" t="str">
        <x:v>Не подтверждено</x:v>
      </x:c>
      <x:c r="E35" s="9" t="str">
        <x:v>P0070 · БИО-комплекс Донор, удобрение со свойствами фунгицида
P0095 · БИО-комплекс Серебромедин
P0197 · Индиго, КС от болезней плодовых и винограда, профилакт
Ещё 2: фильтр G30 в каталоге</x:v>
      </x:c>
      <x:c r="F35" s="9" t="str">
        <x:v>Не подтверждено</x:v>
      </x:c>
      <x:c r="G35" s="9" t="str">
        <x:v>P0290 · БИОЗАЩИТИН в ампуле - органическое средство защиты растений 3 в 1
P0342 · МУЧНИСТОП (СПРЕЙ) - от Мучнистой росы Органик Микс</x:v>
      </x:c>
      <x:c r="H35" s="9" t="str">
        <x:v>P0533 · АнтиГниль Порошок Фитоспорин–М,П
P0534 · АнтиГниль Фитоспорин–М, Хранение
P0569 · Биофунгицид Фитоспорин-АС (паста)
Ещё 28: фильтр G30 в каталоге</x:v>
      </x:c>
      <x:c r="I35" s="9" t="str">
        <x:v>Это НЕ единый класс замен: бактерии/грибы, медь/серебро, масла и химические фунгициды имеют разные регламенты и спектры. Для программы требуется совпадение конкретной болезни и культуры.</x:v>
      </x:c>
      <x:c r="J35" s="9" t="n">
        <x:f>COUNTIF('Участники групп'!$A$5:$A$724,A35)</x:f>
        <x:v>38</x:v>
      </x:c>
    </x:row>
    <x:row r="36" ht="72" customHeight="1">
      <x:c r="A36" s="6" t="str">
        <x:v>G31</x:v>
      </x:c>
      <x:c r="B36" s="6" t="str">
        <x:v>Средства против слизней</x:v>
      </x:c>
      <x:c r="C36" s="5" t="str">
        <x:v>C · только задача</x:v>
      </x:c>
      <x:c r="D36" s="6" t="str">
        <x:v>Не подтверждено</x:v>
      </x:c>
      <x:c r="E36" s="6" t="str">
        <x:v>P0228 · СтопУлит, Г от слизней улиток</x:v>
      </x:c>
      <x:c r="F36" s="6" t="str">
        <x:v>Не подтверждено</x:v>
      </x:c>
      <x:c r="G36" s="6" t="str">
        <x:v>P0360 · СТОПСЛИЗНЯК - от слизней</x:v>
      </x:c>
      <x:c r="H36" s="6" t="str">
        <x:v>Не подтверждено</x:v>
      </x:c>
      <x:c r="I36" s="6" t="str">
        <x:v>Одна цель, но разные действующие вещества/основы. В Стопслизняке указаны соли трехвалентного железа и пищевые компоненты; не считать копией СтопУлита.</x:v>
      </x:c>
      <x:c r="J36" s="6" t="n">
        <x:f>COUNTIF('Участники групп'!$A$5:$A$724,A36)</x:f>
        <x:v>2</x:v>
      </x:c>
    </x:row>
    <x:row r="37" ht="72" customHeight="1">
      <x:c r="A37" s="9" t="str">
        <x:v>G32</x:v>
      </x:c>
      <x:c r="B37" s="9" t="str">
        <x:v>Средства против муравьев</x:v>
      </x:c>
      <x:c r="C37" s="5" t="str">
        <x:v>C · только задача</x:v>
      </x:c>
      <x:c r="D37" s="9" t="str">
        <x:v>Не подтверждено</x:v>
      </x:c>
      <x:c r="E37" s="9" t="str">
        <x:v>P0202 · Мурагон от муравьев
P0203 · Мурагон, от муравьев садовых и домашних</x:v>
      </x:c>
      <x:c r="F37" s="9" t="str">
        <x:v>Не подтверждено</x:v>
      </x:c>
      <x:c r="G37" s="9" t="str">
        <x:v>P0276 · БЕЙ МУРАВЕЙ - от Органик Микс</x:v>
      </x:c>
      <x:c r="H37" s="9" t="str">
        <x:v>P0708 · Супер Кыш-Муравей</x:v>
      </x:c>
      <x:c r="I37" s="9" t="str">
        <x:v>Бей Муравей: продукты ферментации Saccharopolyspora; Кыш-Муравей: сорбент и березовый деготь. Отпугиватель и инсектицидная приманка не равнозначны.</x:v>
      </x:c>
      <x:c r="J37" s="9" t="n">
        <x:f>COUNTIF('Участники групп'!$A$5:$A$724,A37)</x:f>
        <x:v>4</x:v>
      </x:c>
    </x:row>
    <x:row r="38" ht="114" customHeight="1">
      <x:c r="A38" s="6" t="str">
        <x:v>G33</x:v>
      </x:c>
      <x:c r="B38" s="6" t="str">
        <x:v>Биосредства для туалетов и септиков</x:v>
      </x:c>
      <x:c r="C38" s="5" t="str">
        <x:v>C · только задача</x:v>
      </x:c>
      <x:c r="D38" s="6" t="str">
        <x:v>Не подтверждено</x:v>
      </x:c>
      <x:c r="E38" s="6" t="str">
        <x:v>P0241 · ДАЧНЫЙ ПОМОЩНИК, Для септиков и выгребных ям Максимум
P0242 · ДАЧНЫЙ ПОМОЩНИК, средство для биотуалетов (нижний бак)
P0243 · ДАЧНЫЙ ПОМОЩНИК, средство для дачных туалетов и выгребных ям
Ещё 1: фильтр G33 в каталоге</x:v>
      </x:c>
      <x:c r="F38" s="6" t="str">
        <x:v>P0250 · MAXI 3 в 1</x:v>
      </x:c>
      <x:c r="G38" s="6" t="str">
        <x:v>Не подтверждено</x:v>
      </x:c>
      <x:c r="H38" s="6" t="str">
        <x:v>P0774 · Горыныч – бинарный биопрепарат для туалетов и выгребных ям
P0782 · Удачный – биопрепарат для туалетов и выгребных ям
P0784 · Хозяин Септиков</x:v>
      </x:c>
      <x:c r="I38" s="6" t="str">
        <x:v>Хозяйственные средства, не препараты для растений. Различаются объект, бактериальный состав и условия работы.</x:v>
      </x:c>
      <x:c r="J38" s="6" t="n">
        <x:f>COUNTIF('Участники групп'!$A$5:$A$724,A38)</x:f>
        <x:v>8</x:v>
      </x:c>
    </x:row>
    <x:row r="39" ht="72" customHeight="1">
      <x:c r="A39" s="9" t="str">
        <x:v>G34</x:v>
      </x:c>
      <x:c r="B39" s="9" t="str">
        <x:v>Очистка теплиц и инвентаря</x:v>
      </x:c>
      <x:c r="C39" s="5" t="str">
        <x:v>C · только задача</x:v>
      </x:c>
      <x:c r="D39" s="9" t="str">
        <x:v>Не подтверждено</x:v>
      </x:c>
      <x:c r="E39" s="9" t="str">
        <x:v>P0188 · ДАЧНЫЙ ПОМОЩНИК, Средство для мойки теплиц, концентрат</x:v>
      </x:c>
      <x:c r="F39" s="9" t="str">
        <x:v>Не подтверждено</x:v>
      </x:c>
      <x:c r="G39" s="9" t="str">
        <x:v>P0298 · БИОСАНИТАРИН - для садового инструмента
P0299 · БИОСАНИТАРИН для теплиц и инвентаря</x:v>
      </x:c>
      <x:c r="H39" s="9" t="str">
        <x:v>Не подтверждено</x:v>
      </x:c>
      <x:c r="I39" s="9" t="str">
        <x:v>Моющие ПАВ для теплиц и масляный состав для инструмента не обязательно взаимозаменяемы. Нельзя опрыскивать растения вместо обработки поверхностей.</x:v>
      </x:c>
      <x:c r="J39" s="9" t="n">
        <x:f>COUNTIF('Участники групп'!$A$5:$A$724,A39)</x:f>
        <x:v>3</x:v>
      </x:c>
    </x:row>
    <x:row r="40" ht="114" customHeight="1">
      <x:c r="A40" s="6" t="str">
        <x:v>G35</x:v>
      </x:c>
      <x:c r="B40" s="6" t="str">
        <x:v>Минеральное комплексное питание NPK</x:v>
      </x:c>
      <x:c r="C40" s="5" t="str">
        <x:v>C · только задача</x:v>
      </x:c>
      <x:c r="D40" s="6" t="str">
        <x:v>Не подтверждено</x:v>
      </x:c>
      <x:c r="E40" s="6" t="str">
        <x:v>P0132 · БИО-комплекс, ТМ Листория, Виноград
P0133 · БИО-комплекс, ТМ Листория, Газон
P0134 · БИО-комплекс, ТМ Листория, Овощи
Ещё 16: фильтр G35 в каталоге</x:v>
      </x:c>
      <x:c r="F40" s="6" t="str">
        <x:v>Не подтверждено</x:v>
      </x:c>
      <x:c r="G40" s="6" t="str">
        <x:v>Не подтверждено</x:v>
      </x:c>
      <x:c r="H40" s="6" t="str">
        <x:v>P0546 · Бионекс-Кеми 14:0:16+20
P0547 · Бионекс-Кеми 2:40:27+1,2
P0548 · Бионекс-Кеми NPK + Mg+ S 18:18:18+1,1+5
Ещё 15: фильтр G35 в каталоге</x:v>
      </x:c>
      <x:c r="I40" s="6" t="str">
        <x:v>Сопоставление по функции комплексного питания. Формулы 19:19:19, 18:18:18, 6:18:37 и др. не одинаковы; подбирать фазу и целевой элемент отдельно.</x:v>
      </x:c>
      <x:c r="J40" s="6" t="n">
        <x:f>COUNTIF('Участники групп'!$A$5:$A$724,A40)</x:f>
        <x:v>37</x:v>
      </x:c>
    </x:row>
    <x:row r="41" ht="86" customHeight="1">
      <x:c r="A41" s="9" t="str">
        <x:v>G36</x:v>
      </x:c>
      <x:c r="B41" s="9" t="str">
        <x:v>Разрыхлители, сорбенты и улучшители структуры</x:v>
      </x:c>
      <x:c r="C41" s="5" t="str">
        <x:v>C · только задача</x:v>
      </x:c>
      <x:c r="D41" s="9" t="str">
        <x:v>Не подтверждено</x:v>
      </x:c>
      <x:c r="E41" s="9" t="str">
        <x:v>P0069 · БИО-комплекс Диатомит Садовый
P0124 · БИО-комплекс Цеолит</x:v>
      </x:c>
      <x:c r="F41" s="9" t="str">
        <x:v>Не подтверждено</x:v>
      </x:c>
      <x:c r="G41" s="9" t="str">
        <x:v>P0260 · АКВАСЕЙФ
P0343 · Органический адсорбент для почвы ДЕТОКСЕР
P0356 · Разрыхлин Органик Микс
Ещё 1: фильтр G36 в каталоге</x:v>
      </x:c>
      <x:c r="H41" s="9" t="str">
        <x:v>P0638 · ДРЕНАЖ КЕРАМЗИТОВЫЙ крупный
P0639 · Дренаж Керамзитовый средний
P0672 · Мульча–Разрыхлитель Земля–Матушка черноземная
Ещё 2: фильтр G36 в каталоге</x:v>
      </x:c>
      <x:c r="I41" s="9" t="str">
        <x:v>Вулканические породы, диатомит, цеолит, гидроудерживающие материалы и органические разрыхлители — разные материалы. Одной функции недостаточно для замены.</x:v>
      </x:c>
      <x:c r="J41" s="9" t="n">
        <x:f>COUNTIF('Участники групп'!$A$5:$A$724,A41)</x:f>
        <x:v>11</x:v>
      </x:c>
    </x:row>
    <x:row r="42" ht="86" customHeight="1">
      <x:c r="A42" s="6" t="str">
        <x:v>G37</x:v>
      </x:c>
      <x:c r="B42" s="6" t="str">
        <x:v>Готовые почвогрунты</x:v>
      </x:c>
      <x:c r="C42" s="5" t="str">
        <x:v>C · только задача</x:v>
      </x:c>
      <x:c r="D42" s="6" t="str">
        <x:v>Не подтверждено</x:v>
      </x:c>
      <x:c r="E42" s="6" t="str">
        <x:v>Не подтверждено</x:v>
      </x:c>
      <x:c r="F42" s="6" t="str">
        <x:v>Не подтверждено</x:v>
      </x:c>
      <x:c r="G42" s="6" t="str">
        <x:v>P0300 · Грунт для домашнего огорода
P0301 · Грунт для рассады
P0302 · Грунт для семян и черенков</x:v>
      </x:c>
      <x:c r="H42" s="6" t="str">
        <x:v>P0641 · Земля-Матушка для Бобовых
P0642 · Земля-Матушка СуперЭлита
P0643 · Земля–Матушка Универсальная для рассады, зелени и цветов
Ещё 12: фильтр G37 в каталоге</x:v>
      </x:c>
      <x:c r="I42" s="6" t="str">
        <x:v>Подбирать по культуре, кислотности и составу. Универсальный грунт не заменяет субстрат для эпифитной орхидеи.</x:v>
      </x:c>
      <x:c r="J42" s="6" t="n">
        <x:f>COUNTIF('Участники групп'!$A$5:$A$724,A42)</x:f>
        <x:v>18</x:v>
      </x:c>
    </x:row>
    <x:row r="43" ht="100" customHeight="1">
      <x:c r="A43" s="9" t="str">
        <x:v>G38</x:v>
      </x:c>
      <x:c r="B43" s="9" t="str">
        <x:v>Стимуляция цветения и завязывания</x:v>
      </x:c>
      <x:c r="C43" s="5" t="str">
        <x:v>C · только задача</x:v>
      </x:c>
      <x:c r="D43" s="9" t="str">
        <x:v>Не подтверждено</x:v>
      </x:c>
      <x:c r="E43" s="9" t="str">
        <x:v>P0098 · БИО-комплекс Стимулятор ЦВЕТЕНИЯ и ПЛОДОНОШЕНИЯ, ТМ МАГ
P0180 · Гиббера, ВР стимулятор плодообразования
P0237 · Эмистим, Р стимулятор завязей, иммунитета</x:v>
      </x:c>
      <x:c r="F43" s="9" t="str">
        <x:v>Не подтверждено</x:v>
      </x:c>
      <x:c r="G43" s="9" t="str">
        <x:v>Не подтверждено</x:v>
      </x:c>
      <x:c r="H43" s="9" t="str">
        <x:v>P0587 · Борогум
P0588 · Борогум Экстра марка Cu-Zn
P0589 · Борогум Экстра марка Комплексный
Ещё 4: фильтр G38 в каталоге</x:v>
      </x:c>
      <x:c r="I43" s="9" t="str">
        <x:v>Борная подкормка и гормональный регулятор завязывания работают по-разному. Совпадение задачи не дает права заменять дозу или график.</x:v>
      </x:c>
      <x:c r="J43" s="9" t="n">
        <x:f>COUNTIF('Участники групп'!$A$5:$A$724,A43)</x:f>
        <x:v>10</x:v>
      </x:c>
    </x:row>
    <x:row r="44" ht="86" customHeight="1">
      <x:c r="A44" s="6" t="str">
        <x:v>G39</x:v>
      </x:c>
      <x:c r="B44" s="6" t="str">
        <x:v>Гуминовые биостимуляторы и улучшители почвы</x:v>
      </x:c>
      <x:c r="C44" s="16" t="str">
        <x:v>B · похожие компоненты</x:v>
      </x:c>
      <x:c r="D44" s="6" t="str">
        <x:v>Не подтверждено</x:v>
      </x:c>
      <x:c r="E44" s="6" t="str">
        <x:v>P0066 · БИО-комплекс БиоГумус
P0068 · БИО-комплекс Гумат Калия
P0181 · Гумат калия "СУФЛЕР", удобрение для овощных
Ещё 2: фильтр G39 в каталоге</x:v>
      </x:c>
      <x:c r="F44" s="6" t="str">
        <x:v>P0252 · MAXI Гумус
P0253 · MAXI Корень
P0254 · MAXI Плодородие</x:v>
      </x:c>
      <x:c r="G44" s="6" t="str">
        <x:v>Не подтверждено</x:v>
      </x:c>
      <x:c r="H44" s="6" t="str">
        <x:v>P0597 · ГУМИ-20 Натриевый NPK 1:1,5:1
P0598 · ГУМИ–20 Универсальный
P0599 · ГУМИ–20 Цветы
Ещё 9: фильтр G39 в каталоге</x:v>
      </x:c>
      <x:c r="I44" s="6" t="str">
        <x:v>Калиевые и натриевые гуматы не тождественны. MAXI Плодородие включено лишь как кандидат по улучшению почвы: полноценного состава нет. Гуматы не заменяют полноценное питание автоматически.</x:v>
      </x:c>
      <x:c r="J44" s="6" t="n">
        <x:f>COUNTIF('Участники групп'!$A$5:$A$724,A44)</x:f>
        <x:v>20</x:v>
      </x:c>
    </x:row>
    <x:row r="45" ht="72" customHeight="1">
      <x:c r="A45" s="9" t="str">
        <x:v>G40</x:v>
      </x:c>
      <x:c r="B45" s="9" t="str">
        <x:v>Предпосевная биостимуляция</x:v>
      </x:c>
      <x:c r="C45" s="5" t="str">
        <x:v>C · только задача</x:v>
      </x:c>
      <x:c r="D45" s="9" t="str">
        <x:v>Не подтверждено</x:v>
      </x:c>
      <x:c r="E45" s="9" t="str">
        <x:v>P0125 · БИО-комплекс ЭКБИ 1 для семян и корней рассады
P0177 · Биостим Старт, стимулятор для семян и рассады</x:v>
      </x:c>
      <x:c r="F45" s="9" t="str">
        <x:v>Не подтверждено</x:v>
      </x:c>
      <x:c r="G45" s="9" t="str">
        <x:v>P0392 · ФИТОСТАРТ Органик Микс</x:v>
      </x:c>
      <x:c r="H45" s="9" t="str">
        <x:v>P0540 · Башполимик Семена (Марки А и Б)</x:v>
      </x:c>
      <x:c r="I45" s="9" t="str">
        <x:v>Совпадает этап применения, но составы и механизмы различаются. Не заменяет фунгицидное протравливание семян.</x:v>
      </x:c>
      <x:c r="J45" s="9" t="n">
        <x:f>COUNTIF('Участники групп'!$A$5:$A$724,A45)</x:f>
        <x:v>4</x:v>
      </x:c>
    </x:row>
    <x:row r="46" ht="100" customHeight="1">
      <x:c r="A46" s="6" t="str">
        <x:v>G41</x:v>
      </x:c>
      <x:c r="B46" s="6" t="str">
        <x:v>Поддержка роста и иммунитета</x:v>
      </x:c>
      <x:c r="C46" s="5" t="str">
        <x:v>C · только задача</x:v>
      </x:c>
      <x:c r="D46" s="6" t="str">
        <x:v>Не подтверждено</x:v>
      </x:c>
      <x:c r="E46" s="6" t="str">
        <x:v>P0097 · БИО-комплекс Стимулятор РОСТА и ИММУНИТЕТА, ТМ МАГ
P0127 · БИО-комплекс ЭКБИ 3 для садовых, огородных и домашних растений
P0128 · БИО-комплекс ЭКБИ 4 для листвы и стволов кустарников и деревьев</x:v>
      </x:c>
      <x:c r="F46" s="6" t="str">
        <x:v>Не подтверждено</x:v>
      </x:c>
      <x:c r="G46" s="6" t="str">
        <x:v>P0261 · Аминорост для рассады
P0344 · Органический стимулятор иммунитета БиоТонус
P0345 · Органический стимулятор роста АминоРост</x:v>
      </x:c>
      <x:c r="H46" s="6" t="str">
        <x:v>P0570 · Бияк АминоХит</x:v>
      </x:c>
      <x:c r="I46" s="6" t="str">
        <x:v>Функциональные альтернативы; питательные смеси, водоросли и аминокислоты не являются одинаковыми препаратами.</x:v>
      </x:c>
      <x:c r="J46" s="6" t="n">
        <x:f>COUNTIF('Участники групп'!$A$5:$A$724,A46)</x:f>
        <x:v>7</x:v>
      </x:c>
    </x:row>
    <x:row r="47" ht="114" customHeight="1">
      <x:c r="A47" s="9" t="str">
        <x:v>C01</x:v>
      </x:c>
      <x:c r="B47" s="9" t="str">
        <x:v>Универсальное питание</x:v>
      </x:c>
      <x:c r="C47" s="5" t="str">
        <x:v>C · только задача</x:v>
      </x:c>
      <x:c r="D47" s="9" t="str">
        <x:v>P0049 · Витамины универсальные в форме геля
P0050 · Витамины универсальные в форме гранул
P0051 · Витамины универсальные в форме гранул. Осень.
Ещё 3: фильтр C01 в каталоге</x:v>
      </x:c>
      <x:c r="E47" s="9" t="str">
        <x:v>P0080 · БИО-комплекс ОМУ весна-лето универсальное, ТМ БИОША
P0090 · БИО-комплекс ОМУ осень универсальное, ТМ БИОША
P0120 · БИО-комплекс Удобрение органическое Универсальное, ТМ Удобряша
Ещё 4: фильтр C01 в каталоге</x:v>
      </x:c>
      <x:c r="F47" s="9" t="str">
        <x:v>Не подтверждено</x:v>
      </x:c>
      <x:c r="G47" s="9" t="str">
        <x:v>P0323 · Морской коктейль (водорастворимый) Универсальный Органик Микс
P0325 · МОРСКОЙ КОКТЕЙЛЬ (жидкий)
P0389 · Удобрение универсальное
Ещё 1: фильтр C01 в каталоге</x:v>
      </x:c>
      <x:c r="H47" s="9" t="str">
        <x:v>P0626 · Гуми–Оми Универсал - Овощи, Ягоды, Цветы
P0627 · Гуми-Оми Универсальное– , ( гранулированный)
P0632 · Гуми–Оми Цветы садовые Универсал
Ещё 3: фильтр C01 в каталоге</x:v>
      </x:c>
      <x:c r="I47" s="9"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47" s="9" t="n">
        <x:f>COUNTIF('Участники групп'!$A$5:$A$724,A47)</x:f>
        <x:v>23</x:v>
      </x:c>
    </x:row>
    <x:row r="48" ht="128" customHeight="1">
      <x:c r="A48" s="6" t="str">
        <x:v>C02</x:v>
      </x:c>
      <x:c r="B48" s="6" t="str">
        <x:v>Томаты, перцы, баклажаны</x:v>
      </x:c>
      <x:c r="C48" s="5" t="str">
        <x:v>C · только задача</x:v>
      </x:c>
      <x:c r="D48" s="6" t="str">
        <x:v>P0035 · Витамины для томатов в форме концентрата
P0036 · Витамины для томатов, баклажанов и перцев в гранулах</x:v>
      </x:c>
      <x:c r="E48" s="6" t="str">
        <x:v>P0088 · БИО-комплекс ОМУ для томатов, перцев и баклажанов, ТМ БИОША
P0115 · БИО-комплекс Удобрение органическое для томатов, перцев и баклажанов, ТМ Удобряша
P0138 · БИО-комплекс, ТМ Листория, Томат
Ещё 3: фильтр C02 в каталоге</x:v>
      </x:c>
      <x:c r="F48" s="6" t="str">
        <x:v>Не подтверждено</x:v>
      </x:c>
      <x:c r="G48" s="6" t="str">
        <x:v>P0318 · Морской коктейль (водорастворимый) для Томатов Органик Микс
P0331 · Морской коктейль (жидкий) для Томатов
P0385 · Удобрение для томатов
Ещё 2: фильтр C02 в каталоге</x:v>
      </x:c>
      <x:c r="H48" s="6" t="str">
        <x:v>P0625 · Гуми–Оми Томат, Баклажан, Перец</x:v>
      </x:c>
      <x:c r="I48" s="6"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48" s="6" t="n">
        <x:f>COUNTIF('Участники групп'!$A$5:$A$724,A48)</x:f>
        <x:v>14</x:v>
      </x:c>
    </x:row>
    <x:row r="49" ht="128" customHeight="1">
      <x:c r="A49" s="9" t="str">
        <x:v>C03</x:v>
      </x:c>
      <x:c r="B49" s="9" t="str">
        <x:v>Огурцы и бахчевые</x:v>
      </x:c>
      <x:c r="C49" s="5" t="str">
        <x:v>C · только задача</x:v>
      </x:c>
      <x:c r="D49" s="9" t="str">
        <x:v>P0022 · Витамины для огурцов в форме концентрата
P0023 · Витамины для огурцов, кабачков и тыквы в гранулах</x:v>
      </x:c>
      <x:c r="E49" s="9" t="str">
        <x:v>P0085 · БИО-комплекс ОМУ для огурцов, кабачков, арбузов и дынь, ТМ БИОША
P0114 · БИО-комплекс Удобрение органическое для огурцов и кабачков, ТМ Удобряша
P0155 · БИОкоктейль для комнатных огурчиков ТМ ВитаминУС
Ещё 1: фильтр C03 в каталоге</x:v>
      </x:c>
      <x:c r="F49" s="9" t="str">
        <x:v>Не подтверждено</x:v>
      </x:c>
      <x:c r="G49" s="9" t="str">
        <x:v>P0315 · Морской коктейль (водорастворимый) для Огурцов Органик Микс
P0369 · Удобрение для гигантской тыквы Рыжий Слон Органик Микс
P0380 · Удобрение для огурцов
Ещё 1: фильтр C03 в каталоге</x:v>
      </x:c>
      <x:c r="H49" s="9" t="str">
        <x:v>P0620 · Гуми–Оми Огурец, Кабачок, Бахчевые</x:v>
      </x:c>
      <x:c r="I49" s="9"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49" s="9" t="n">
        <x:f>COUNTIF('Участники групп'!$A$5:$A$724,A49)</x:f>
        <x:v>11</x:v>
      </x:c>
    </x:row>
    <x:row r="50" ht="114" customHeight="1">
      <x:c r="A50" s="6" t="str">
        <x:v>C04</x:v>
      </x:c>
      <x:c r="B50" s="6" t="str">
        <x:v>Рассада и посадка</x:v>
      </x:c>
      <x:c r="C50" s="5" t="str">
        <x:v>C · только задача</x:v>
      </x:c>
      <x:c r="D50" s="6" t="str">
        <x:v>P0020 · Витамины для овощей и рассады в гранулах
P0021 · Витамины для овощей и рассады в форме геля
P0031 · Витамины для рассады в форме концентрата
Ещё 1: фильтр C04 в каталоге</x:v>
      </x:c>
      <x:c r="E50" s="6" t="str">
        <x:v>P0092 · БИО-комплекс Рассада БУМ
P0137 · БИО-комплекс, ТМ Листория, Рассада
P0162 · Биококтейль для рассады ТМ ВитаминУС</x:v>
      </x:c>
      <x:c r="F50" s="6" t="str">
        <x:v>Не подтверждено</x:v>
      </x:c>
      <x:c r="G50" s="6" t="str">
        <x:v>P0316 · Морской коктейль (водорастворимый) для рассады Органик Микс
P0328 · Морской коктейль (жидкий) для рассады
P0329 · Морской коктейль (жидкий) для рассады (с приятным запахом)
Ещё 5: фильтр C04 в каталоге</x:v>
      </x:c>
      <x:c r="H50" s="6" t="str">
        <x:v>P0623 · Гуми-Оми Рассада</x:v>
      </x:c>
      <x:c r="I50" s="6"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50" s="6" t="n">
        <x:f>COUNTIF('Участники групп'!$A$5:$A$724,A50)</x:f>
        <x:v>16</x:v>
      </x:c>
    </x:row>
    <x:row r="51" ht="128" customHeight="1">
      <x:c r="A51" s="9" t="str">
        <x:v>C05</x:v>
      </x:c>
      <x:c r="B51" s="9" t="str">
        <x:v>Земляника и ягодники</x:v>
      </x:c>
      <x:c r="C51" s="5" t="str">
        <x:v>C · только задача</x:v>
      </x:c>
      <x:c r="D51" s="9" t="str">
        <x:v>P0015 · Витамины для клубники в гранулах
P0016 · Витамины для клубники в форме концентрата</x:v>
      </x:c>
      <x:c r="E51" s="9" t="str">
        <x:v>P0083 · БИО-комплекс ОМУ для клубники и земляники, ТМ БИОША
P0086 · БИО-комплекс ОМУ для плодово-ягодных деревьев и кустарников, ТМ БИОША
P0117 · БИО-комплекс Удобрение органическое для ягод, ТМ Удобряша
Ещё 6: фильтр C05 в каталоге</x:v>
      </x:c>
      <x:c r="F51" s="9" t="str">
        <x:v>Не подтверждено</x:v>
      </x:c>
      <x:c r="G51" s="9" t="str">
        <x:v>P0313 · Морской коктейль (водорастворимый) для Клубники
P0327 · Морской коктейль (жидкий) для Клубники
P0375 · Удобрение для клубники и ягодных
Ещё 2: фильтр C05 в каталоге</x:v>
      </x:c>
      <x:c r="H51" s="9" t="str">
        <x:v>P0577 · БОГАТЫЙ Овощи, Ягоды, Зелень - жидкое комплексное биоактивированое удобрение
P0626 · Гуми–Оми Универсал - Овощи, Ягоды, Цветы
P0633 · Гуми-Оми Ягодный-Земляника-Клубника-Малина-Смородина
Ещё 1: фильтр C05 в каталоге</x:v>
      </x:c>
      <x:c r="I51" s="9"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51" s="9" t="n">
        <x:f>COUNTIF('Участники групп'!$A$5:$A$724,A51)</x:f>
        <x:v>20</x:v>
      </x:c>
    </x:row>
    <x:row r="52" ht="114" customHeight="1">
      <x:c r="A52" s="6" t="str">
        <x:v>C06</x:v>
      </x:c>
      <x:c r="B52" s="6" t="str">
        <x:v>Розы и пионы</x:v>
      </x:c>
      <x:c r="C52" s="5" t="str">
        <x:v>C · только задача</x:v>
      </x:c>
      <x:c r="D52" s="6" t="str">
        <x:v>P0029 · Витамины для пионов в форме гранул
P0030 · Витамины для пионов в форме концентрата
P0032 · Витамины для роз в гранулах
Ещё 3: фильтр C06 в каталоге</x:v>
      </x:c>
      <x:c r="E52" s="6" t="str">
        <x:v>P0087 · БИО-комплекс ОМУ для роз, пионов, ТМ БИОША
P0154 · Биококтейль для комнатной розы, комнатный фэншуй ТМ HAPPY
P0163 · БИОкоктейль для садовых роз ТМ ВИТАМИНУС</x:v>
      </x:c>
      <x:c r="F52" s="6" t="str">
        <x:v>Не подтверждено</x:v>
      </x:c>
      <x:c r="G52" s="6" t="str">
        <x:v>P0317 · Морской коктейль (водорастворимый) для Роз Органик Микс
P0330 · Морской коктейль (жидкий) для Роз
P0383 · Удобрение для роз и цветов Органик Микс
Ещё 2: фильтр C06 в каталоге</x:v>
      </x:c>
      <x:c r="H52" s="6" t="str">
        <x:v>P0624 · Гуми-Оми Розы</x:v>
      </x:c>
      <x:c r="I52" s="6"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52" s="6" t="n">
        <x:f>COUNTIF('Участники групп'!$A$5:$A$724,A52)</x:f>
        <x:v>15</x:v>
      </x:c>
    </x:row>
    <x:row r="53" ht="114" customHeight="1">
      <x:c r="A53" s="9" t="str">
        <x:v>C07</x:v>
      </x:c>
      <x:c r="B53" s="9" t="str">
        <x:v>Гортензии и кислолюбивые декоративные</x:v>
      </x:c>
      <x:c r="C53" s="5" t="str">
        <x:v>C · только задача</x:v>
      </x:c>
      <x:c r="D53" s="9" t="str">
        <x:v>P0006 · Витамины для гортензий и азалий в форме геля
P0007 · Витамины для гортензий и азалий в форме гранул
P0008 · Витамины для гортензий и азалий в форме концентрата
Ещё 1: фильтр C07 в каталоге</x:v>
      </x:c>
      <x:c r="E53" s="9" t="str">
        <x:v>P0081 · БИО-комплекс ОМУ для гортензий, рододендронов, азалий, ТМ БИОША
P0111 · БИО-комплекс Удобрение органическое для гортензий, ТМ Удобряша
P0148 · БИОкоктейль для гортензий, азалий и рододендронов ТМ Витаминус
Ещё 1: фильтр C07 в каталоге</x:v>
      </x:c>
      <x:c r="F53" s="9" t="str">
        <x:v>Не подтверждено</x:v>
      </x:c>
      <x:c r="G53" s="9" t="str">
        <x:v>P0312 · Морской коктейль (водорастворимый) для Гортензий Органик Микс
P0326 · Морской коктейль (жидкий) для Гортензий
P0371 · Удобрение для гортензий
Ещё 1: фильтр C07 в каталоге</x:v>
      </x:c>
      <x:c r="H53" s="9" t="str">
        <x:v>P0576 · Богатый Гортензия – жидкое комплексное биоактивированное удобрение
P0678 · Пробиогранулы "Гортензия"
P0681 · Пробиогранулы "Кислотолюбивые кустарники"</x:v>
      </x:c>
      <x:c r="I53" s="9"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53" s="9" t="n">
        <x:f>COUNTIF('Участники групп'!$A$5:$A$724,A53)</x:f>
        <x:v>15</x:v>
      </x:c>
    </x:row>
    <x:row r="54" ht="86" customHeight="1">
      <x:c r="A54" s="6" t="str">
        <x:v>C08</x:v>
      </x:c>
      <x:c r="B54" s="6" t="str">
        <x:v>Голубика и другие кислолюбивые ягодные</x:v>
      </x:c>
      <x:c r="C54" s="5" t="str">
        <x:v>C · только задача</x:v>
      </x:c>
      <x:c r="D54" s="6" t="str">
        <x:v>P0004 · Витамины для голубики в форме гранул
P0005 · Витамины для голубики в форме концентрата</x:v>
      </x:c>
      <x:c r="E54" s="6" t="str">
        <x:v>P0110 · БИО-комплекс Удобрение органическое для голубики, брусники, клюквы, черники, ТМ Удобряша
P0147 · БИОкоктейль для голубики, брусники и клюквы ТМ БИОША</x:v>
      </x:c>
      <x:c r="F54" s="6" t="str">
        <x:v>Не подтверждено</x:v>
      </x:c>
      <x:c r="G54" s="6" t="str">
        <x:v>P0370 · Удобрение для голубики
P0396 · ЭЛИКСИР № 1 - для Голубики Органик Микс (NEW)</x:v>
      </x:c>
      <x:c r="H54" s="6" t="str">
        <x:v>Не подтверждено</x:v>
      </x:c>
      <x:c r="I54" s="6"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54" s="6" t="n">
        <x:f>COUNTIF('Участники групп'!$A$5:$A$724,A54)</x:f>
        <x:v>6</x:v>
      </x:c>
    </x:row>
    <x:row r="55" ht="114" customHeight="1">
      <x:c r="A55" s="9" t="str">
        <x:v>C09</x:v>
      </x:c>
      <x:c r="B55" s="9" t="str">
        <x:v>Хвойные и туи</x:v>
      </x:c>
      <x:c r="C55" s="5" t="str">
        <x:v>C · только задача</x:v>
      </x:c>
      <x:c r="D55" s="9" t="str">
        <x:v>P0037 · Витамины для туй в форме концентрата
P0041 · Витамины для хвойных в форме концентрата
P0042 · Витамины для хвойных растений в гранулах
Ещё 1: фильтр C09 в каталоге</x:v>
      </x:c>
      <x:c r="E55" s="9" t="str">
        <x:v>P0089 · БИО-комплекс ОМУ для хвойных культур, ТМ БИОША
P0140 · БИО-комплекс, ТМ Листория, Хвойные вечнозелёные
P0169 · БИОкоктейль для хвойных ТМ БИОША
Ещё 2: фильтр C09 в каталоге</x:v>
      </x:c>
      <x:c r="F55" s="9" t="str">
        <x:v>Не подтверждено</x:v>
      </x:c>
      <x:c r="G55" s="9" t="str">
        <x:v>P0319 · Морской коктейль (водорастворимый) для Туй Органик Микс
P0332 · Морской коктейль (жидкий) для Туй
P0333 · Морской коктейль (жидкий) для Хвойных
Ещё 4: фильтр C09 в каталоге</x:v>
      </x:c>
      <x:c r="H55" s="9" t="str">
        <x:v>P0631 · Гуми–Оми Хвойные
P0684 · Пробиогранулы "Хвойные"
P0690 · ПРОБИОГРАНУЛЫ-PGPR Хвойные NPK 5:4:7 + МЭ + PGPR-бактерии</x:v>
      </x:c>
      <x:c r="I55" s="9"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55" s="9" t="n">
        <x:f>COUNTIF('Участники групп'!$A$5:$A$724,A55)</x:f>
        <x:v>19</x:v>
      </x:c>
    </x:row>
    <x:row r="56" ht="114" customHeight="1">
      <x:c r="A56" s="6" t="str">
        <x:v>C10</x:v>
      </x:c>
      <x:c r="B56" s="6" t="str">
        <x:v>Газон</x:v>
      </x:c>
      <x:c r="C56" s="5" t="str">
        <x:v>C · только задача</x:v>
      </x:c>
      <x:c r="D56" s="6" t="str">
        <x:v>P0002 · Витамины для газона в гранулах
P0003 · Витамины для газонов в форме концентрата</x:v>
      </x:c>
      <x:c r="E56" s="6" t="str">
        <x:v>P0133 · БИО-комплекс, ТМ Листория, Газон</x:v>
      </x:c>
      <x:c r="F56" s="6" t="str">
        <x:v>Не подтверждено</x:v>
      </x:c>
      <x:c r="G56" s="6" t="str">
        <x:v>P0365 · Удобрение для газона "Бельгийская серия"
P0366 · Удобрение для газона Антимох "Бельгийская серия"
P0367 · Удобрение для газона Весна-Лето Органик Микс
Ещё 1: фильтр C10 в каталоге</x:v>
      </x:c>
      <x:c r="H56" s="6" t="str">
        <x:v>P0575 · Богатый Газон-Цветы
P0634 · Гуми–Оми, Богатейшее удобрение газон</x:v>
      </x:c>
      <x:c r="I56" s="6"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56" s="6" t="n">
        <x:f>COUNTIF('Участники групп'!$A$5:$A$724,A56)</x:f>
        <x:v>9</x:v>
      </x:c>
    </x:row>
    <x:row r="57" ht="114" customHeight="1">
      <x:c r="A57" s="9" t="str">
        <x:v>C11</x:v>
      </x:c>
      <x:c r="B57" s="9" t="str">
        <x:v>Комнатные цветы и декоративно-лиственные</x:v>
      </x:c>
      <x:c r="C57" s="5" t="str">
        <x:v>C · только задача</x:v>
      </x:c>
      <x:c r="D57" s="9" t="str">
        <x:v>P0009 · Витамины для декоративно-лиственных растений в форме геля
P0010 · Витамины для декоративно-лиственных растений в форме гранул
P0011 · Витамины для декоративно-лиственных растений в форме концентрата
Ещё 2: фильтр C11 в каталоге</x:v>
      </x:c>
      <x:c r="E57" s="9" t="str">
        <x:v>P0102 · БИО-комплекс Удобрение для антуриума, Секрет счастья
P0103 · БИО-комплекс Удобрение для замиокулькаса, Секрет счастья
P0105 · БИО-комплекс Удобрение для спатифиллума, Секрет счастья
Ещё 17: фильтр C11 в каталоге</x:v>
      </x:c>
      <x:c r="F57" s="9" t="str">
        <x:v>Не подтверждено</x:v>
      </x:c>
      <x:c r="G57" s="9" t="str">
        <x:v>P0314 · Морской коктейль (водорастворимый) для Комнатных растений Органик Микс
P0335 · Морской коктейль Гель для Комнатных растений
P0338 · Морской коктейль Тоник для Комнатных растений (СПРЕЙ)
Ещё 1: фильтр C11 в каталоге</x:v>
      </x:c>
      <x:c r="H57" s="9" t="str">
        <x:v>P0579 · БОГАТЫЙ–ДОМ – комплексное, биоактивированное удобрение
P0615 · Гуми–Оми Лианы
P0648 · Комплексное универсальное удобрение для комнатных растений Бионекс-Кеми водорастворимый
Ещё 1: фильтр C11 в каталоге</x:v>
      </x:c>
      <x:c r="I57" s="9"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57" s="9" t="n">
        <x:f>COUNTIF('Участники групп'!$A$5:$A$724,A57)</x:f>
        <x:v>33</x:v>
      </x:c>
    </x:row>
    <x:row r="58" ht="100" customHeight="1">
      <x:c r="A58" s="6" t="str">
        <x:v>C12</x:v>
      </x:c>
      <x:c r="B58" s="6" t="str">
        <x:v>Орхидеи</x:v>
      </x:c>
      <x:c r="C58" s="5" t="str">
        <x:v>C · только задача</x:v>
      </x:c>
      <x:c r="D58" s="6" t="str">
        <x:v>P0024 · Витамины для орхидей в гранулах
P0025 · Витамины для орхидей в форме геля
P0026 · Витамины для орхидей в форме концентрата
Ещё 1: фильтр C12 в каталоге</x:v>
      </x:c>
      <x:c r="E58" s="6" t="str">
        <x:v>P0104 · БИО-комплекс Удобрение для орхидеи, Секрет счастья
P0159 · Биококтейль для орхидеи, комнатный фэншуй ТМ HAPPY</x:v>
      </x:c>
      <x:c r="F58" s="6" t="str">
        <x:v>Не подтверждено</x:v>
      </x:c>
      <x:c r="G58" s="6" t="str">
        <x:v>Не подтверждено</x:v>
      </x:c>
      <x:c r="H58" s="6" t="str">
        <x:v>P0578 · Богатый Орхидея</x:v>
      </x:c>
      <x:c r="I58" s="6"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58" s="6" t="n">
        <x:f>COUNTIF('Участники групп'!$A$5:$A$724,A58)</x:f>
        <x:v>7</x:v>
      </x:c>
    </x:row>
    <x:row r="59" ht="72" customHeight="1">
      <x:c r="A59" s="9" t="str">
        <x:v>C13</x:v>
      </x:c>
      <x:c r="B59" s="9" t="str">
        <x:v>Фикусы и пальмы</x:v>
      </x:c>
      <x:c r="C59" s="5" t="str">
        <x:v>C · только задача</x:v>
      </x:c>
      <x:c r="D59" s="9" t="str">
        <x:v>P0040 · Витамины для фикусов и пальм в форме концентрата</x:v>
      </x:c>
      <x:c r="E59" s="9" t="str">
        <x:v>Не подтверждено</x:v>
      </x:c>
      <x:c r="F59" s="9" t="str">
        <x:v>Не подтверждено</x:v>
      </x:c>
      <x:c r="G59" s="9" t="str">
        <x:v>P0320 · Морской коктейль (водорастворимый) для Фикусов и Пальм Органик Микс
P0414 · ЭЛИКСИР № 1 - для Фикусов и Пальм Органик Микс (NEW)</x:v>
      </x:c>
      <x:c r="H59" s="9" t="str">
        <x:v>P0629 · Гуми–ОМИ Фикус-Пальма</x:v>
      </x:c>
      <x:c r="I59" s="9"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59" s="9" t="n">
        <x:f>COUNTIF('Участники групп'!$A$5:$A$724,A59)</x:f>
        <x:v>4</x:v>
      </x:c>
    </x:row>
    <x:row r="60" ht="72" customHeight="1">
      <x:c r="A60" s="6" t="str">
        <x:v>C14</x:v>
      </x:c>
      <x:c r="B60" s="6" t="str">
        <x:v>Фиалки и герани</x:v>
      </x:c>
      <x:c r="C60" s="5" t="str">
        <x:v>C · только задача</x:v>
      </x:c>
      <x:c r="D60" s="6" t="str">
        <x:v>P0038 · Витамины для фиалок в форме геля
P0039 · Витамины для фиалок в форме концентрата</x:v>
      </x:c>
      <x:c r="E60" s="6" t="str">
        <x:v>P0107 · БИО-комплекс Удобрение для фиалки, Секрет счастья
P0168 · Биококтейль для фиалки, комнатный фэншуй ТМ HAPPY</x:v>
      </x:c>
      <x:c r="F60" s="6" t="str">
        <x:v>Не подтверждено</x:v>
      </x:c>
      <x:c r="G60" s="6" t="str">
        <x:v>Не подтверждено</x:v>
      </x:c>
      <x:c r="H60" s="6" t="str">
        <x:v>P0628 · Гуми–Оми Фиалка-Герань</x:v>
      </x:c>
      <x:c r="I60" s="6"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60" s="6" t="n">
        <x:f>COUNTIF('Участники групп'!$A$5:$A$724,A60)</x:f>
        <x:v>5</x:v>
      </x:c>
    </x:row>
    <x:row r="61" ht="72" customHeight="1">
      <x:c r="A61" s="9" t="str">
        <x:v>C15</x:v>
      </x:c>
      <x:c r="B61" s="9" t="str">
        <x:v>Кактусы и суккуленты</x:v>
      </x:c>
      <x:c r="C61" s="5" t="str">
        <x:v>C · только задача</x:v>
      </x:c>
      <x:c r="D61" s="9" t="str">
        <x:v>P0013 · Витамины для кактусов и суккулентов в гранулах
P0014 · Витамины для кактусов и суккулентов в форме концентрата</x:v>
      </x:c>
      <x:c r="E61" s="9" t="str">
        <x:v>P0106 · БИО-комплекс Удобрение для суккулентов и кактусов, Секрет счастья
P0166 · Биококтейль для толстянки, комнатный фэншуй ТМ HAPPY</x:v>
      </x:c>
      <x:c r="F61" s="9" t="str">
        <x:v>Не подтверждено</x:v>
      </x:c>
      <x:c r="G61" s="9" t="str">
        <x:v>Не подтверждено</x:v>
      </x:c>
      <x:c r="H61" s="9" t="str">
        <x:v>P0611 · Гуми–Оми Кактус-Алоэ</x:v>
      </x:c>
      <x:c r="I61" s="9"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61" s="9" t="n">
        <x:f>COUNTIF('Участники групп'!$A$5:$A$724,A61)</x:f>
        <x:v>5</x:v>
      </x:c>
    </x:row>
    <x:row r="62" ht="86" customHeight="1">
      <x:c r="A62" s="6" t="str">
        <x:v>C16</x:v>
      </x:c>
      <x:c r="B62" s="6" t="str">
        <x:v>Цитрусовые</x:v>
      </x:c>
      <x:c r="C62" s="5" t="str">
        <x:v>C · только задача</x:v>
      </x:c>
      <x:c r="D62" s="6" t="str">
        <x:v>P0047 · Витамины для цитрусовых в гранулах
P0048 · Витамины для цитрусовых в форме концентрата
P0061 · Спрей Аминосил для цитрусовых</x:v>
      </x:c>
      <x:c r="E62" s="6" t="str">
        <x:v>P0170 · Биококтейль для цитрусовых, комнатный фэншуй ТМ HAPPY</x:v>
      </x:c>
      <x:c r="F62" s="6" t="str">
        <x:v>Не подтверждено</x:v>
      </x:c>
      <x:c r="G62" s="6" t="str">
        <x:v>P0419 · Эликсир № 1 для лимонов</x:v>
      </x:c>
      <x:c r="H62" s="6" t="str">
        <x:v>P0616 · Гуми–ОМИ Лимон – Мандарин</x:v>
      </x:c>
      <x:c r="I62" s="6"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62" s="6" t="n">
        <x:f>COUNTIF('Участники групп'!$A$5:$A$724,A62)</x:f>
        <x:v>6</x:v>
      </x:c>
    </x:row>
    <x:row r="63" ht="114" customHeight="1">
      <x:c r="A63" s="9" t="str">
        <x:v>C17</x:v>
      </x:c>
      <x:c r="B63" s="9" t="str">
        <x:v>Петунии и прочие цветы</x:v>
      </x:c>
      <x:c r="C63" s="5" t="str">
        <x:v>C · только задача</x:v>
      </x:c>
      <x:c r="D63" s="9" t="str">
        <x:v>P0027 · Витамины для петуний в форме гранул
P0028 · Витамины для петуний в форме концентрата
P0044 · Витамины для цветов в гранулах
Ещё 4: фильтр C17 в каталоге</x:v>
      </x:c>
      <x:c r="E63" s="9" t="str">
        <x:v>P0082 · БИО-комплекс ОМУ для клематисов, ТМ БИОША
P0091 · БИО-комплекс Петуния БУМ
P0116 · БИО-комплекс Удобрение органическое для цветов, ТМ Удобряша
Ещё 10: фильтр C17 в каталоге</x:v>
      </x:c>
      <x:c r="F63" s="9" t="str">
        <x:v>Не подтверждено</x:v>
      </x:c>
      <x:c r="G63" s="9" t="str">
        <x:v>P0321 · Морской коктейль (водорастворимый) для Цветов Органик Микс
P0334 · Морской коктейль (жидкий) для Цветов
P0383 · Удобрение для роз и цветов Органик Микс
Ещё 5: фильтр C17 в каталоге</x:v>
      </x:c>
      <x:c r="H63" s="9" t="str">
        <x:v>P0575 · Богатый Газон-Цветы
P0596 · Гуми – Оми Однолетние и Двулетние цветы
P0608 · Гуми–Оми Бутон–Цветы
Ещё 7: фильтр C17 в каталоге</x:v>
      </x:c>
      <x:c r="I63" s="9"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63" s="9" t="n">
        <x:f>COUNTIF('Участники групп'!$A$5:$A$724,A63)</x:f>
        <x:v>38</x:v>
      </x:c>
    </x:row>
    <x:row r="64" ht="72" customHeight="1">
      <x:c r="A64" s="6" t="str">
        <x:v>C18</x:v>
      </x:c>
      <x:c r="B64" s="6" t="str">
        <x:v>Лук и чеснок</x:v>
      </x:c>
      <x:c r="C64" s="5" t="str">
        <x:v>C · только задача</x:v>
      </x:c>
      <x:c r="D64" s="6" t="str">
        <x:v>P0017 · Витамины для лука и чеснока в форме концентрата</x:v>
      </x:c>
      <x:c r="E64" s="6" t="str">
        <x:v>P0113 · БИО-комплекс Удобрение органическое для лука и чеснока, ТМ Удобряша</x:v>
      </x:c>
      <x:c r="F64" s="6" t="str">
        <x:v>Не подтверждено</x:v>
      </x:c>
      <x:c r="G64" s="6" t="str">
        <x:v>Не подтверждено</x:v>
      </x:c>
      <x:c r="H64" s="6" t="str">
        <x:v>P0617 · Гуми-Оми Лук и Чеснок - ( гранулированный)
P0618 · Гуми–Оми Лук, Чеснок</x:v>
      </x:c>
      <x:c r="I64" s="6"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64" s="6" t="n">
        <x:f>COUNTIF('Участники групп'!$A$5:$A$724,A64)</x:f>
        <x:v>4</x:v>
      </x:c>
    </x:row>
    <x:row r="65" ht="86" customHeight="1">
      <x:c r="A65" s="9" t="str">
        <x:v>C19</x:v>
      </x:c>
      <x:c r="B65" s="9" t="str">
        <x:v>Картофель и корнеплоды</x:v>
      </x:c>
      <x:c r="C65" s="5" t="str">
        <x:v>C · только задача</x:v>
      </x:c>
      <x:c r="D65" s="9" t="str">
        <x:v>Не подтверждено</x:v>
      </x:c>
      <x:c r="E65" s="9" t="str">
        <x:v>P0112 · БИО-комплекс Удобрение органическое для картофеля, ТМ Удобряша</x:v>
      </x:c>
      <x:c r="F65" s="9" t="str">
        <x:v>Не подтверждено</x:v>
      </x:c>
      <x:c r="G65" s="9" t="str">
        <x:v>P0373 · Удобрение для картофеля Органик Микс
P0376 · Удобрение для корнеплодов
P0402 · ЭЛИКСИР № 1 - для Моркови и Корнеплодов Органик Микс (NEW)</x:v>
      </x:c>
      <x:c r="H65" s="9" t="str">
        <x:v>P0613 · Гуми–ОМИ Картофель
P0614 · Гуми–Оми Картофель, Морковь, Редис, Свекла, Репа, Редька</x:v>
      </x:c>
      <x:c r="I65" s="9"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65" s="9" t="n">
        <x:f>COUNTIF('Участники групп'!$A$5:$A$724,A65)</x:f>
        <x:v>6</x:v>
      </x:c>
    </x:row>
    <x:row r="66" ht="114" customHeight="1">
      <x:c r="A66" s="6" t="str">
        <x:v>C20</x:v>
      </x:c>
      <x:c r="B66" s="6" t="str">
        <x:v>Плодовые деревья и виноград</x:v>
      </x:c>
      <x:c r="C66" s="5" t="str">
        <x:v>C · только задача</x:v>
      </x:c>
      <x:c r="D66" s="6" t="str">
        <x:v>Не подтверждено</x:v>
      </x:c>
      <x:c r="E66" s="6" t="str">
        <x:v>P0086 · БИО-комплекс ОМУ для плодово-ягодных деревьев и кустарников, ТМ БИОША
P0109 · БИО-комплекс Удобрение органическое для винограда, ТМ Удобряша
P0132 · БИО-комплекс, ТМ Листория, Виноград
Ещё 4: фильтр C20 в каталоге</x:v>
      </x:c>
      <x:c r="F66" s="6" t="str">
        <x:v>Не подтверждено</x:v>
      </x:c>
      <x:c r="G66" s="6" t="str">
        <x:v>P0364 · Удобрение для винограда Органик Микс
P0377 · Удобрение для косточковых ЧерриГарден Органик Микс
P0384 · Удобрение для семечковых ЭплГарден Органик Микс
Ещё 2: фильтр C20 в каталоге</x:v>
      </x:c>
      <x:c r="H66" s="6" t="str">
        <x:v>P0622 · Гуми-Оми Плодовые – деревья и кустарники</x:v>
      </x:c>
      <x:c r="I66" s="6"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66" s="6" t="n">
        <x:f>COUNTIF('Участники групп'!$A$5:$A$724,A66)</x:f>
        <x:v>13</x:v>
      </x:c>
    </x:row>
    <x:row r="67" ht="114" customHeight="1">
      <x:c r="A67" s="9" t="str">
        <x:v>C21</x:v>
      </x:c>
      <x:c r="B67" s="9" t="str">
        <x:v>Осеннее питание</x:v>
      </x:c>
      <x:c r="C67" s="5" t="str">
        <x:v>C · только задача</x:v>
      </x:c>
      <x:c r="D67" s="9" t="str">
        <x:v>P0051 · Витамины универсальные в форме гранул. Осень.
P0053 · Витамины универсальные в форме концентрата. Осень.</x:v>
      </x:c>
      <x:c r="E67" s="9" t="str">
        <x:v>P0090 · БИО-комплекс ОМУ осень универсальное, ТМ БИОША
P0119 · БИО-комплекс Удобрение органическое Осеннее, ТМ Удобряша
P0135 · БИО-комплекс, ТМ Листория, ОСЕНЬ
Ещё 2: фильтр C21 в каталоге</x:v>
      </x:c>
      <x:c r="F67" s="9" t="str">
        <x:v>Не подтверждено</x:v>
      </x:c>
      <x:c r="G67" s="9" t="str">
        <x:v>P0322 · Морской коктейль (водорастворимый) Осенний Органик Микс
P0368 · Удобрение для газона Осень
P0388 · Удобрение осеннее
Ещё 1: фильтр C21 в каталоге</x:v>
      </x:c>
      <x:c r="H67" s="9" t="str">
        <x:v>P0621 · Гуми–Оми Осенний
P0686 · Пробиогранулы Осенние
P0689 · ПРОБИОГРАНУЛЫ-PGPR Осенние NPK 1:5:8 + МЭ + PGPR-бактерии</x:v>
      </x:c>
      <x:c r="I67" s="9"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67" s="9" t="n">
        <x:f>COUNTIF('Участники групп'!$A$5:$A$724,A67)</x:f>
        <x:v>14</x:v>
      </x:c>
    </x:row>
    <x:row r="68" ht="86" customHeight="1">
      <x:c r="A68" s="6" t="str">
        <x:v>C22</x:v>
      </x:c>
      <x:c r="B68" s="6" t="str">
        <x:v>Весеннее питание</x:v>
      </x:c>
      <x:c r="C68" s="5" t="str">
        <x:v>C · только задача</x:v>
      </x:c>
      <x:c r="D68" s="6" t="str">
        <x:v>Не подтверждено</x:v>
      </x:c>
      <x:c r="E68" s="6" t="str">
        <x:v>P0080 · БИО-комплекс ОМУ весна-лето универсальное, ТМ БИОША</x:v>
      </x:c>
      <x:c r="F68" s="6" t="str">
        <x:v>Не подтверждено</x:v>
      </x:c>
      <x:c r="G68" s="6" t="str">
        <x:v>P0363 · Удобрение весеннее
P0367 · Удобрение для газона Весна-Лето Органик Микс
P0394 · ЭЛИКСИР № 1 - Весенний Органик Микс (NEW)</x:v>
      </x:c>
      <x:c r="H68" s="6" t="str">
        <x:v>P0609 · Гуми–Оми Весенний
P0685 · Пробиогранулы Весенние
P0687 · ПРОБИОГРАНУЛЫ-PGPR Весенние NPK 7:2:5 + МЭ + PGPR-бактерии</x:v>
      </x:c>
      <x:c r="I68" s="6"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68" s="6" t="n">
        <x:f>COUNTIF('Участники групп'!$A$5:$A$724,A68)</x:f>
        <x:v>7</x:v>
      </x:c>
    </x:row>
    <x:row r="69" ht="72" customHeight="1">
      <x:c r="A69" s="9" t="str">
        <x:v>C23</x:v>
      </x:c>
      <x:c r="B69" s="9" t="str">
        <x:v>Капуста</x:v>
      </x:c>
      <x:c r="C69" s="5" t="str">
        <x:v>C · только задача</x:v>
      </x:c>
      <x:c r="D69" s="9" t="str">
        <x:v>Не подтверждено</x:v>
      </x:c>
      <x:c r="E69" s="9" t="str">
        <x:v>P0150 · БИОкоктейль для капусты ТМ ВитаминУС</x:v>
      </x:c>
      <x:c r="F69" s="9" t="str">
        <x:v>Не подтверждено</x:v>
      </x:c>
      <x:c r="G69" s="9" t="str">
        <x:v>P0372 · Удобрение для капусты</x:v>
      </x:c>
      <x:c r="H69" s="9" t="str">
        <x:v>Не подтверждено</x:v>
      </x:c>
      <x:c r="I69" s="9"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69" s="9" t="n">
        <x:f>COUNTIF('Участники групп'!$A$5:$A$724,A69)</x:f>
        <x:v>2</x:v>
      </x:c>
    </x:row>
    <x:row r="70" ht="114" customHeight="1">
      <x:c r="A70" s="6" t="str">
        <x:v>C24</x:v>
      </x:c>
      <x:c r="B70" s="6" t="str">
        <x:v>Декоративные кустарники и деревья</x:v>
      </x:c>
      <x:c r="C70" s="5" t="str">
        <x:v>C · только задача</x:v>
      </x:c>
      <x:c r="D70" s="6" t="str">
        <x:v>Не подтверждено</x:v>
      </x:c>
      <x:c r="E70" s="6" t="str">
        <x:v>P0218 · РАКЕТА, Удобрение для декоративных культур (колышки)</x:v>
      </x:c>
      <x:c r="F70" s="6" t="str">
        <x:v>Не подтверждено</x:v>
      </x:c>
      <x:c r="G70" s="6" t="str">
        <x:v>Не подтверждено</x:v>
      </x:c>
      <x:c r="H70" s="6" t="str">
        <x:v>P0610 · Гуми-Оми Декоративные кустарники
P0680 · Пробиогранулы "Декоративные кустарники и деревья", 0,8
P0688 · ПРОБИОГРАНУЛЫ-PGPR Декоративные кустарники NPK 5:7:5 + МЭ + PGPR-бактерии</x:v>
      </x:c>
      <x:c r="I70" s="6" t="str">
        <x:v>Кандидаты по культуре/сезону, а не одинаковые препараты. Проверить NPK, форму, фазу, pH и способ применения. Жидкие, гранулированные и готовые спреи сохраняются раздельно.</x:v>
      </x:c>
      <x:c r="J70" s="6" t="n">
        <x:f>COUNTIF('Участники групп'!$A$5:$A$724,A70)</x:f>
        <x:v>4</x:v>
      </x:c>
    </x:row>
    <x:row r="71" ht="114" customHeight="1">
      <x:c r="A71" s="9" t="str">
        <x:v>C25</x:v>
      </x:c>
      <x:c r="B71" s="9" t="str">
        <x:v>Овощи и зелень: общее питание</x:v>
      </x:c>
      <x:c r="C71" s="5" t="str">
        <x:v>C · только задача</x:v>
      </x:c>
      <x:c r="D71" s="9" t="str">
        <x:v>P0018 · Витамины для овощей в форме гранул
P0019 · Витамины для овощей в форме концентрата
P0020 · Витамины для овощей и рассады в гранулах
Ещё 1: фильтр C25 в каталоге</x:v>
      </x:c>
      <x:c r="E71" s="9" t="str">
        <x:v>P0079 · БИО-комплекс Овощи БУМ
P0134 · БИО-комплекс, ТМ Листория, Овощи
P0146 · БИОкоктейль для всех видов зелени ТМ БИОША
Ещё 2: фильтр C25 в каталоге</x:v>
      </x:c>
      <x:c r="F71" s="9" t="str">
        <x:v>Не подтверждено</x:v>
      </x:c>
      <x:c r="G71" s="9" t="str">
        <x:v>P0379 · Удобрение для овощей "Бельгийская серия"
P0403 · ЭЛИКСИР № 1 - для Овощей Органик Микс (NEW)
P0420 · Эликсир № 1 для овощей</x:v>
      </x:c>
      <x:c r="H71" s="9" t="str">
        <x:v>P0577 · БОГАТЫЙ Овощи, Ягоды, Зелень - жидкое комплексное биоактивированое удобрение
P0626 · Гуми–Оми Универсал - Овощи, Ягоды, Цветы</x:v>
      </x:c>
      <x:c r="I71" s="9" t="str">
        <x:v>Кандидаты по культуре, не одинаковые составы. Проверить NPK, форму и фазу.</x:v>
      </x:c>
      <x:c r="J71" s="9" t="n">
        <x:f>COUNTIF('Участники групп'!$A$5:$A$724,A71)</x:f>
        <x:v>14</x:v>
      </x:c>
    </x:row>
    <x:row r="72" ht="72" customHeight="1">
      <x:c r="A72" s="6" t="str">
        <x:v>C26</x:v>
      </x:c>
      <x:c r="B72" s="6" t="str">
        <x:v>Луковичные цветы</x:v>
      </x:c>
      <x:c r="C72" s="5" t="str">
        <x:v>C · только задача</x:v>
      </x:c>
      <x:c r="D72" s="6" t="str">
        <x:v>Не подтверждено</x:v>
      </x:c>
      <x:c r="E72" s="6" t="str">
        <x:v>Не подтверждено</x:v>
      </x:c>
      <x:c r="F72" s="6" t="str">
        <x:v>Не подтверждено</x:v>
      </x:c>
      <x:c r="G72" s="6" t="str">
        <x:v>P0378 · Удобрение для луковичных Органик Микс
P0413 · ЭЛИКСИР № 1 - для Тюльпанов и Луковичных цветов Органик Микс (NEW)</x:v>
      </x:c>
      <x:c r="H72" s="6" t="str">
        <x:v>P0619 · Гуми–Оми Луковичные и Клубнелуковичные цветы</x:v>
      </x:c>
      <x:c r="I72" s="6" t="str">
        <x:v>Совпадает группа культур. Дозы, составы и время внесения различаются.</x:v>
      </x:c>
      <x:c r="J72" s="6" t="n">
        <x:f>COUNTIF('Участники групп'!$A$5:$A$724,A72)</x:f>
        <x:v>3</x:v>
      </x:c>
    </x:row>
  </x:sheetData>
  <x:mergeCells>
    <x:mergeCell ref="A1:J1"/>
    <x:mergeCell ref="A2:J2"/>
    <x:mergeCell ref="A3:J3"/>
  </x:mergeCells>
  <x:pageMargins left="0.7" right="0.7" top="0.75" bottom="0.75" header="0.3" footer="0.3"/>
  <x:tableParts count="1">
    <x:tablePart xmlns:r="http://schemas.openxmlformats.org/officeDocument/2006/relationships" r:id="Reec8bcf563414d51"/>
  </x:tableParts>
</x:worksheet>
</file>

<file path=xl/worksheets/sheet3.xml><?xml version="1.0" encoding="utf-8"?>
<x:worksheet xmlns:x="http://schemas.openxmlformats.org/spreadsheetml/2006/main">
  <x:sheetPr>
    <x:tabColor rgb="FF163D30"/>
  </x:sheetPr>
  <x:sheetViews>
    <x:sheetView showGridLines="0" workbookViewId="0">
      <x:pane xSplit="3" ySplit="5" topLeftCell="D6" activePane="bottomRight" state="frozen"/>
    </x:sheetView>
  </x:sheetViews>
  <x:sheetFormatPr defaultRowHeight="15"/>
  <x:cols>
    <x:col min="1" max="1" width="9" hidden="0" customWidth="1"/>
    <x:col min="2" max="2" width="19" hidden="0" customWidth="1"/>
    <x:col min="3" max="3" width="52" hidden="0" customWidth="1"/>
    <x:col min="4" max="4" width="25" hidden="0" customWidth="1"/>
    <x:col min="5" max="5" width="29" hidden="0" customWidth="1"/>
    <x:col min="6" max="6" width="19" hidden="0" customWidth="1"/>
    <x:col min="7" max="7" width="61" hidden="0" customWidth="1"/>
    <x:col min="8" max="8" width="29" hidden="0" customWidth="1"/>
    <x:col min="9" max="9" width="27" hidden="0" customWidth="1"/>
    <x:col min="10" max="10" width="12" hidden="0" customWidth="1"/>
    <x:col min="11" max="11" width="28" hidden="0" customWidth="1"/>
    <x:col min="12" max="12" width="3" hidden="0" customWidth="1"/>
    <x:col min="13" max="13" width="60" hidden="0" customWidth="1"/>
    <x:col min="14" max="14" width="24" hidden="0" customWidth="1"/>
  </x:cols>
  <x:sheetData>
    <x:row r="1" ht="34" customHeight="1">
      <x:c r="A1" s="4" t="str">
        <x:v>Реестр товаров и кандидатов на сопоставление</x:v>
      </x:c>
      <x:c r="B1" s="4"/>
      <x:c r="C1" s="4"/>
      <x:c r="D1" s="4"/>
      <x:c r="E1" s="4"/>
      <x:c r="F1" s="4"/>
      <x:c r="G1" s="4"/>
      <x:c r="H1" s="4"/>
      <x:c r="I1" s="4"/>
      <x:c r="J1" s="4"/>
      <x:c r="K1" s="4"/>
      <x:c r="L1" s="4"/>
      <x:c r="M1" s="4"/>
      <x:c r="N1" s="4"/>
    </x:row>
    <x:row r="2" ht="26" customHeight="1">
      <x:c r="A2" s="3" t="str">
        <x:v>09.09.2026 • G — сравнение состава/задачи; C — питание по культуре. Совпадение кода НЕ разрешает автоматическую замену.</x:v>
      </x:c>
      <x:c r="B2" s="3"/>
      <x:c r="C2" s="3"/>
      <x:c r="D2" s="3"/>
      <x:c r="E2" s="3"/>
      <x:c r="F2" s="3"/>
      <x:c r="G2" s="3"/>
      <x:c r="H2" s="3"/>
      <x:c r="I2" s="3"/>
      <x:c r="J2" s="3"/>
      <x:c r="K2" s="3"/>
      <x:c r="L2" s="3"/>
      <x:c r="M2" s="3"/>
      <x:c r="N2" s="3"/>
    </x:row>
    <x:row r="3" ht="26" customHeight="1">
      <x:c r="A3" s="3" t="str">
        <x:v>Составы сокращены. Откройте первоисточник справа. Пустой список аналогов означает «не подтверждено в этом обзоре», а не «аналогов не существует».</x:v>
      </x:c>
      <x:c r="B3" s="3"/>
      <x:c r="C3" s="3"/>
      <x:c r="D3" s="3"/>
      <x:c r="E3" s="3"/>
      <x:c r="F3" s="3"/>
      <x:c r="G3" s="3"/>
      <x:c r="H3" s="3"/>
      <x:c r="I3" s="3"/>
      <x:c r="J3" s="3"/>
      <x:c r="K3" s="3"/>
      <x:c r="L3" s="3"/>
      <x:c r="M3" s="3"/>
      <x:c r="N3" s="3"/>
    </x:row>
    <x:row r="4" ht="26" customHeight="1">
      <x:c r="A4" s="3"/>
      <x:c r="B4" s="3"/>
      <x:c r="C4" s="3"/>
      <x:c r="D4" s="3"/>
      <x:c r="E4" s="3"/>
      <x:c r="F4" s="3"/>
      <x:c r="G4" s="3"/>
      <x:c r="H4" s="3"/>
      <x:c r="I4" s="3"/>
      <x:c r="J4" s="3"/>
      <x:c r="K4" s="3"/>
      <x:c r="L4" s="3"/>
      <x:c r="M4" s="3"/>
      <x:c r="N4" s="3"/>
    </x:row>
    <x:row r="5" ht="40" customHeight="1">
      <x:c r="A5" s="15" t="str">
        <x:v>ID</x:v>
      </x:c>
      <x:c r="B5" s="15" t="str">
        <x:v>Компания / каталог</x:v>
      </x:c>
      <x:c r="C5" s="15" t="str">
        <x:v>Название (без повтора фасовок)</x:v>
      </x:c>
      <x:c r="D5" s="15" t="str">
        <x:v>Тип позиции</x:v>
      </x:c>
      <x:c r="E5" s="15" t="str">
        <x:v>Сегмент / происхождение</x:v>
      </x:c>
      <x:c r="F5" s="15" t="str">
        <x:v>Коды сопоставлений</x:v>
      </x:c>
      <x:c r="G5" s="15" t="str">
        <x:v>Основа / состав — кратко</x:v>
      </x:c>
      <x:c r="H5" s="15" t="str">
        <x:v>Полнота сведений</x:v>
      </x:c>
      <x:c r="I5" s="15" t="str">
        <x:v>Форма по карточке</x:v>
      </x:c>
      <x:c r="J5" s="15" t="str">
        <x:v>Карточек объединено</x:v>
      </x:c>
      <x:c r="K5" s="15" t="str">
        <x:v>Результат сопоставления</x:v>
      </x:c>
      <x:c r="L5" s="15" t="str">
        <x:v>·</x:v>
      </x:c>
      <x:c r="M5" s="15" t="str">
        <x:v>Источник: карточка</x:v>
      </x:c>
      <x:c r="N5" s="15" t="str">
        <x:v>Дополнительная этикетка</x:v>
      </x:c>
    </x:row>
    <x:row r="6" ht="68" customHeight="1">
      <x:c r="A6" s="6" t="str">
        <x:v>P0001</x:v>
      </x:c>
      <x:c r="B6" s="6" t="str">
        <x:v>Аминосил</x:v>
      </x:c>
      <x:c r="C6" s="6" t="str">
        <x:v>Витамины для атмосферных тилландсий в форме спрея</x:v>
      </x:c>
      <x:c r="D6" s="6" t="str">
        <x:v>Средство для растений/почвы</x:v>
      </x:c>
      <x:c r="E6" s="6" t="str">
        <x:v>Розничный каталог</x:v>
      </x:c>
      <x:c r="F6" s="6" t="str">
        <x:v>G01</x:v>
      </x:c>
      <x:c r="G6" s="6" t="str">
        <x:v>N/P/K, %: 0,02:0,023:0,025; аминокислоты; микроэлементы; гуминовые вещества; янтарная кислота &lt;5%; серебро</x:v>
      </x:c>
      <x:c r="H6" s="6" t="str">
        <x:v>Есть сведения; см. ограничения</x:v>
      </x:c>
      <x:c r="I6" s="6" t="str">
        <x:v>См. карточку</x:v>
      </x:c>
      <x:c r="J6" s="12" t="n">
        <x:v>1</x:v>
      </x:c>
      <x:c r="K6" s="6" t="str">
        <x:v>См. коды и ограничения на листе «Сопоставления»</x:v>
      </x:c>
      <x:c r="L6" s="6"/>
      <x:c r="M6" s="13" t="str">
        <x:v>https://aminosil.ru/vitamini-dlya-atmosfernyh-tillandsiy-v-forme-spreya</x:v>
      </x:c>
      <x:c r="N6" s="13"/>
    </x:row>
    <x:row r="7" ht="68" customHeight="1">
      <x:c r="A7" s="9" t="str">
        <x:v>P0002</x:v>
      </x:c>
      <x:c r="B7" s="9" t="str">
        <x:v>Аминосил</x:v>
      </x:c>
      <x:c r="C7" s="9" t="str">
        <x:v>Витамины для газона в гранулах</x:v>
      </x:c>
      <x:c r="D7" s="9" t="str">
        <x:v>Средство для растений/почвы</x:v>
      </x:c>
      <x:c r="E7" s="9" t="str">
        <x:v>Розничный каталог</x:v>
      </x:c>
      <x:c r="F7" s="9" t="str">
        <x:v>G01; C10</x:v>
      </x:c>
      <x:c r="G7" s="9" t="str">
        <x:v>N/P/K, %: 2,5:1,5:1,5; аминокислоты; микроэлементы</x:v>
      </x:c>
      <x:c r="H7" s="9" t="str">
        <x:v>Есть сведения; см. ограничения</x:v>
      </x:c>
      <x:c r="I7" s="9" t="str">
        <x:v>Гранулы/колышки/палочки</x:v>
      </x:c>
      <x:c r="J7" s="10" t="n">
        <x:v>1</x:v>
      </x:c>
      <x:c r="K7" s="9" t="str">
        <x:v>См. коды и ограничения на листе «Сопоставления»</x:v>
      </x:c>
      <x:c r="L7" s="9"/>
      <x:c r="M7" s="11" t="str">
        <x:v>https://aminosil.ru/vitamini-dlya-gazona-v-granulah</x:v>
      </x:c>
      <x:c r="N7" s="11"/>
    </x:row>
    <x:row r="8" ht="68" customHeight="1">
      <x:c r="A8" s="6" t="str">
        <x:v>P0003</x:v>
      </x:c>
      <x:c r="B8" s="6" t="str">
        <x:v>Аминосил</x:v>
      </x:c>
      <x:c r="C8" s="6" t="str">
        <x:v>Витамины для газонов в форме концентрата</x:v>
      </x:c>
      <x:c r="D8" s="6" t="str">
        <x:v>Средство для растений/почвы</x:v>
      </x:c>
      <x:c r="E8" s="6" t="str">
        <x:v>Розничный каталог</x:v>
      </x:c>
      <x:c r="F8" s="6" t="str">
        <x:v>G01; C10</x:v>
      </x:c>
      <x:c r="G8" s="6" t="str">
        <x:v>N/P/K, %: 2,5:1,5:1,5; аминокислоты; микроэлементы</x:v>
      </x:c>
      <x:c r="H8" s="6" t="str">
        <x:v>Есть сведения; см. ограничения</x:v>
      </x:c>
      <x:c r="I8" s="6" t="str">
        <x:v>Жидкость/концентрат</x:v>
      </x:c>
      <x:c r="J8" s="12" t="n">
        <x:v>1</x:v>
      </x:c>
      <x:c r="K8" s="6" t="str">
        <x:v>См. коды и ограничения на листе «Сопоставления»</x:v>
      </x:c>
      <x:c r="L8" s="6"/>
      <x:c r="M8" s="13" t="str">
        <x:v>https://aminosil.ru/vitamini-dlya-gazonov-v-forme-kontsentrata</x:v>
      </x:c>
      <x:c r="N8" s="13"/>
    </x:row>
    <x:row r="9" ht="68" customHeight="1">
      <x:c r="A9" s="9" t="str">
        <x:v>P0004</x:v>
      </x:c>
      <x:c r="B9" s="9" t="str">
        <x:v>Аминосил</x:v>
      </x:c>
      <x:c r="C9" s="9" t="str">
        <x:v>Витамины для голубики в форме гранул</x:v>
      </x:c>
      <x:c r="D9" s="9" t="str">
        <x:v>Средство для растений/почвы</x:v>
      </x:c>
      <x:c r="E9" s="9" t="str">
        <x:v>Розничный каталог</x:v>
      </x:c>
      <x:c r="F9" s="9" t="str">
        <x:v>G01; C08</x:v>
      </x:c>
      <x:c r="G9" s="9" t="str">
        <x:v>N/P/K, %: 5:4,5:8,5; аминокислоты; микроэлементы</x:v>
      </x:c>
      <x:c r="H9" s="9" t="str">
        <x:v>Есть сведения; см. ограничения</x:v>
      </x:c>
      <x:c r="I9" s="9" t="str">
        <x:v>Гранулы/колышки/палочки</x:v>
      </x:c>
      <x:c r="J9" s="10" t="n">
        <x:v>1</x:v>
      </x:c>
      <x:c r="K9" s="9" t="str">
        <x:v>См. коды и ограничения на листе «Сопоставления»</x:v>
      </x:c>
      <x:c r="L9" s="9"/>
      <x:c r="M9" s="11" t="str">
        <x:v>https://aminosil.ru/vitaminy-dlya-golubiki-v-forme-granul</x:v>
      </x:c>
      <x:c r="N9" s="11"/>
    </x:row>
    <x:row r="10" ht="68" customHeight="1">
      <x:c r="A10" s="6" t="str">
        <x:v>P0005</x:v>
      </x:c>
      <x:c r="B10" s="6" t="str">
        <x:v>Аминосил</x:v>
      </x:c>
      <x:c r="C10" s="6" t="str">
        <x:v>Витамины для голубики в форме концентрата</x:v>
      </x:c>
      <x:c r="D10" s="6" t="str">
        <x:v>Средство для растений/почвы</x:v>
      </x:c>
      <x:c r="E10" s="6" t="str">
        <x:v>Розничный каталог</x:v>
      </x:c>
      <x:c r="F10" s="6" t="str">
        <x:v>G01; C08</x:v>
      </x:c>
      <x:c r="G10" s="6" t="str">
        <x:v>N/P/K, %: 1,8:1,5:2,3; аминокислоты; микроэлементы; гуминовые вещества</x:v>
      </x:c>
      <x:c r="H10" s="6" t="str">
        <x:v>Есть сведения; см. ограничения</x:v>
      </x:c>
      <x:c r="I10" s="6" t="str">
        <x:v>Жидкость/концентрат</x:v>
      </x:c>
      <x:c r="J10" s="12" t="n">
        <x:v>1</x:v>
      </x:c>
      <x:c r="K10" s="6" t="str">
        <x:v>См. коды и ограничения на листе «Сопоставления»</x:v>
      </x:c>
      <x:c r="L10" s="6"/>
      <x:c r="M10" s="13" t="str">
        <x:v>https://aminosil.ru/vitamini-dlya-golubiki-v-forme-kontsentrata</x:v>
      </x:c>
      <x:c r="N10" s="13"/>
    </x:row>
    <x:row r="11" ht="68" customHeight="1">
      <x:c r="A11" s="9" t="str">
        <x:v>P0006</x:v>
      </x:c>
      <x:c r="B11" s="9" t="str">
        <x:v>Аминосил</x:v>
      </x:c>
      <x:c r="C11" s="9" t="str">
        <x:v>Витамины для гортензий и азалий в форме геля</x:v>
      </x:c>
      <x:c r="D11" s="9" t="str">
        <x:v>Средство для растений/почвы</x:v>
      </x:c>
      <x:c r="E11" s="9" t="str">
        <x:v>Розничный каталог</x:v>
      </x:c>
      <x:c r="F11" s="9" t="str">
        <x:v>G01; C07</x:v>
      </x:c>
      <x:c r="G11" s="9" t="str">
        <x:v>N/P/K, %: 0,8:1,1:1,7; аминокислоты; микроэлементы; гуминовые вещества; янтарная кислота 3%; экстракт хлореллы</x:v>
      </x:c>
      <x:c r="H11" s="9" t="str">
        <x:v>Есть сведения; см. ограничения</x:v>
      </x:c>
      <x:c r="I11" s="9" t="str">
        <x:v>Гель</x:v>
      </x:c>
      <x:c r="J11" s="10" t="n">
        <x:v>1</x:v>
      </x:c>
      <x:c r="K11" s="9" t="str">
        <x:v>См. коды и ограничения на листе «Сопоставления»</x:v>
      </x:c>
      <x:c r="L11" s="9"/>
      <x:c r="M11" s="11" t="str">
        <x:v>https://aminosil.ru/vitamini-dlya-gortenzii-i-azalii-v-forme-gelya</x:v>
      </x:c>
      <x:c r="N11" s="11"/>
    </x:row>
    <x:row r="12" ht="68" customHeight="1">
      <x:c r="A12" s="6" t="str">
        <x:v>P0007</x:v>
      </x:c>
      <x:c r="B12" s="6" t="str">
        <x:v>Аминосил</x:v>
      </x:c>
      <x:c r="C12" s="6" t="str">
        <x:v>Витамины для гортензий и азалий в форме гранул</x:v>
      </x:c>
      <x:c r="D12" s="6" t="str">
        <x:v>Средство для растений/почвы</x:v>
      </x:c>
      <x:c r="E12" s="6" t="str">
        <x:v>Розничный каталог</x:v>
      </x:c>
      <x:c r="F12" s="6" t="str">
        <x:v>G01; C07</x:v>
      </x:c>
      <x:c r="G12" s="6" t="str">
        <x:v>N/P/K, %: 3,4:4,5:9; аминокислоты; микроэлементы</x:v>
      </x:c>
      <x:c r="H12" s="6" t="str">
        <x:v>Есть сведения; см. ограничения</x:v>
      </x:c>
      <x:c r="I12" s="6" t="str">
        <x:v>Гранулы/колышки/палочки</x:v>
      </x:c>
      <x:c r="J12" s="12" t="n">
        <x:v>1</x:v>
      </x:c>
      <x:c r="K12" s="6" t="str">
        <x:v>См. коды и ограничения на листе «Сопоставления»</x:v>
      </x:c>
      <x:c r="L12" s="6"/>
      <x:c r="M12" s="13" t="str">
        <x:v>https://aminosil.ru/vitamini-dlya-gortenzii-i-azalii-v-forme-granul</x:v>
      </x:c>
      <x:c r="N12" s="13"/>
    </x:row>
    <x:row r="13" ht="68" customHeight="1">
      <x:c r="A13" s="9" t="str">
        <x:v>P0008</x:v>
      </x:c>
      <x:c r="B13" s="9" t="str">
        <x:v>Аминосил</x:v>
      </x:c>
      <x:c r="C13" s="9" t="str">
        <x:v>Витамины для гортензий и азалий в форме концентрата</x:v>
      </x:c>
      <x:c r="D13" s="9" t="str">
        <x:v>Средство для растений/почвы</x:v>
      </x:c>
      <x:c r="E13" s="9" t="str">
        <x:v>Розничный каталог</x:v>
      </x:c>
      <x:c r="F13" s="9" t="str">
        <x:v>G01; C07</x:v>
      </x:c>
      <x:c r="G13" s="9" t="str">
        <x:v>N/P/K, %: 1:1,5:2,2; аминокислоты; микроэлементы</x:v>
      </x:c>
      <x:c r="H13" s="9" t="str">
        <x:v>Есть сведения; см. ограничения</x:v>
      </x:c>
      <x:c r="I13" s="9" t="str">
        <x:v>Жидкость/концентрат</x:v>
      </x:c>
      <x:c r="J13" s="10" t="n">
        <x:v>1</x:v>
      </x:c>
      <x:c r="K13" s="9" t="str">
        <x:v>См. коды и ограничения на листе «Сопоставления»</x:v>
      </x:c>
      <x:c r="L13" s="9"/>
      <x:c r="M13" s="11" t="str">
        <x:v>https://aminosil.ru/vitamini-dlya-gortenzii-i-azalii-forme-k</x:v>
      </x:c>
      <x:c r="N13" s="11"/>
    </x:row>
    <x:row r="14" ht="68" customHeight="1">
      <x:c r="A14" s="6" t="str">
        <x:v>P0009</x:v>
      </x:c>
      <x:c r="B14" s="6" t="str">
        <x:v>Аминосил</x:v>
      </x:c>
      <x:c r="C14" s="6" t="str">
        <x:v>Витамины для декоративно-лиственных растений в форме геля</x:v>
      </x:c>
      <x:c r="D14" s="6" t="str">
        <x:v>Средство для растений/почвы</x:v>
      </x:c>
      <x:c r="E14" s="6" t="str">
        <x:v>Розничный каталог</x:v>
      </x:c>
      <x:c r="F14" s="6" t="str">
        <x:v>G01; C11</x:v>
      </x:c>
      <x:c r="G14" s="6" t="str">
        <x:v>N/P/K, %: 2,3:1:1,2; аминокислоты; микроэлементы; гуминовые вещества; янтарная кислота 3%; экстракт хлореллы</x:v>
      </x:c>
      <x:c r="H14" s="6" t="str">
        <x:v>Есть сведения; см. ограничения</x:v>
      </x:c>
      <x:c r="I14" s="6" t="str">
        <x:v>Гель</x:v>
      </x:c>
      <x:c r="J14" s="12" t="n">
        <x:v>1</x:v>
      </x:c>
      <x:c r="K14" s="6" t="str">
        <x:v>См. коды и ограничения на листе «Сопоставления»</x:v>
      </x:c>
      <x:c r="L14" s="6"/>
      <x:c r="M14" s="13" t="str">
        <x:v>https://aminosil.ru/vitamini-dlya-dekorativno-listvennih-rasteniy-gel</x:v>
      </x:c>
      <x:c r="N14" s="13"/>
    </x:row>
    <x:row r="15" ht="68" customHeight="1">
      <x:c r="A15" s="9" t="str">
        <x:v>P0010</x:v>
      </x:c>
      <x:c r="B15" s="9" t="str">
        <x:v>Аминосил</x:v>
      </x:c>
      <x:c r="C15" s="9" t="str">
        <x:v>Витамины для декоративно-лиственных растений в форме гранул</x:v>
      </x:c>
      <x:c r="D15" s="9" t="str">
        <x:v>Средство для растений/почвы</x:v>
      </x:c>
      <x:c r="E15" s="9" t="str">
        <x:v>Розничный каталог</x:v>
      </x:c>
      <x:c r="F15" s="9" t="str">
        <x:v>G01; C11</x:v>
      </x:c>
      <x:c r="G15" s="9" t="str">
        <x:v>N/P/K, %: 2,5:1,5:2; аминокислоты; микроэлементы</x:v>
      </x:c>
      <x:c r="H15" s="9" t="str">
        <x:v>Есть сведения; см. ограничения</x:v>
      </x:c>
      <x:c r="I15" s="9" t="str">
        <x:v>Гранулы/колышки/палочки</x:v>
      </x:c>
      <x:c r="J15" s="10" t="n">
        <x:v>1</x:v>
      </x:c>
      <x:c r="K15" s="9" t="str">
        <x:v>См. коды и ограничения на листе «Сопоставления»</x:v>
      </x:c>
      <x:c r="L15" s="9"/>
      <x:c r="M15" s="11" t="str">
        <x:v>https://aminosil.ru/vitamini-dlya-dekorativno-listvennih-rasteniy-v-granulah</x:v>
      </x:c>
      <x:c r="N15" s="11"/>
    </x:row>
    <x:row r="16" ht="68" customHeight="1">
      <x:c r="A16" s="6" t="str">
        <x:v>P0011</x:v>
      </x:c>
      <x:c r="B16" s="6" t="str">
        <x:v>Аминосил</x:v>
      </x:c>
      <x:c r="C16" s="6" t="str">
        <x:v>Витамины для декоративно-лиственных растений в форме концентрата</x:v>
      </x:c>
      <x:c r="D16" s="6" t="str">
        <x:v>Средство для растений/почвы</x:v>
      </x:c>
      <x:c r="E16" s="6" t="str">
        <x:v>Розничный каталог</x:v>
      </x:c>
      <x:c r="F16" s="6" t="str">
        <x:v>G01; C11</x:v>
      </x:c>
      <x:c r="G16" s="6" t="str">
        <x:v>N/P/K, %: 2,5:1:1,5; аминокислоты; микроэлементы</x:v>
      </x:c>
      <x:c r="H16" s="6" t="str">
        <x:v>Есть сведения; см. ограничения</x:v>
      </x:c>
      <x:c r="I16" s="6" t="str">
        <x:v>Жидкость/концентрат</x:v>
      </x:c>
      <x:c r="J16" s="12" t="n">
        <x:v>1</x:v>
      </x:c>
      <x:c r="K16" s="6" t="str">
        <x:v>См. коды и ограничения на листе «Сопоставления»</x:v>
      </x:c>
      <x:c r="L16" s="6"/>
      <x:c r="M16" s="13" t="str">
        <x:v>https://aminosil.ru/vitamini-dlya-dekorativno-listvennih-rasteniy-koncentrat</x:v>
      </x:c>
      <x:c r="N16" s="13"/>
    </x:row>
    <x:row r="17" ht="68" customHeight="1">
      <x:c r="A17" s="9" t="str">
        <x:v>P0012</x:v>
      </x:c>
      <x:c r="B17" s="9" t="str">
        <x:v>Аминосил</x:v>
      </x:c>
      <x:c r="C17" s="9" t="str">
        <x:v>Витамины для замиокулькаса в форме концентрата</x:v>
      </x:c>
      <x:c r="D17" s="9" t="str">
        <x:v>Средство для растений/почвы</x:v>
      </x:c>
      <x:c r="E17" s="9" t="str">
        <x:v>Розничный каталог</x:v>
      </x:c>
      <x:c r="F17" s="9" t="str">
        <x:v>G01; C11</x:v>
      </x:c>
      <x:c r="G17" s="9" t="str">
        <x:v>N/P/K, %: 1:1,2:2,5; аминокислоты; микроэлементы</x:v>
      </x:c>
      <x:c r="H17" s="9" t="str">
        <x:v>Есть сведения; см. ограничения</x:v>
      </x:c>
      <x:c r="I17" s="9" t="str">
        <x:v>Жидкость/концентрат</x:v>
      </x:c>
      <x:c r="J17" s="10" t="n">
        <x:v>1</x:v>
      </x:c>
      <x:c r="K17" s="9" t="str">
        <x:v>См. коды и ограничения на листе «Сопоставления»</x:v>
      </x:c>
      <x:c r="L17" s="9"/>
      <x:c r="M17" s="11" t="str">
        <x:v>https://aminosil.ru/vitaminy-dlya-zamiokulkasa-v-forme-koncentrata</x:v>
      </x:c>
      <x:c r="N17" s="11"/>
    </x:row>
    <x:row r="18" ht="68" customHeight="1">
      <x:c r="A18" s="6" t="str">
        <x:v>P0013</x:v>
      </x:c>
      <x:c r="B18" s="6" t="str">
        <x:v>Аминосил</x:v>
      </x:c>
      <x:c r="C18" s="6" t="str">
        <x:v>Витамины для кактусов и суккулентов в гранулах</x:v>
      </x:c>
      <x:c r="D18" s="6" t="str">
        <x:v>Средство для растений/почвы</x:v>
      </x:c>
      <x:c r="E18" s="6" t="str">
        <x:v>Розничный каталог</x:v>
      </x:c>
      <x:c r="F18" s="6" t="str">
        <x:v>G01; C15</x:v>
      </x:c>
      <x:c r="G18" s="6" t="str">
        <x:v>N/P/K, %: 1:2:3,5; аминокислоты; микроэлементы</x:v>
      </x:c>
      <x:c r="H18" s="6" t="str">
        <x:v>Есть сведения; см. ограничения</x:v>
      </x:c>
      <x:c r="I18" s="6" t="str">
        <x:v>Гранулы/колышки/палочки</x:v>
      </x:c>
      <x:c r="J18" s="12" t="n">
        <x:v>1</x:v>
      </x:c>
      <x:c r="K18" s="6" t="str">
        <x:v>См. коды и ограничения на листе «Сопоставления»</x:v>
      </x:c>
      <x:c r="L18" s="6"/>
      <x:c r="M18" s="13" t="str">
        <x:v>https://aminosil.ru/vitamini-dlya-kaktusov-i-sukkulentov-v-granulah</x:v>
      </x:c>
      <x:c r="N18" s="13"/>
    </x:row>
    <x:row r="19" ht="68" customHeight="1">
      <x:c r="A19" s="9" t="str">
        <x:v>P0014</x:v>
      </x:c>
      <x:c r="B19" s="9" t="str">
        <x:v>Аминосил</x:v>
      </x:c>
      <x:c r="C19" s="9" t="str">
        <x:v>Витамины для кактусов и суккулентов в форме концентрата</x:v>
      </x:c>
      <x:c r="D19" s="9" t="str">
        <x:v>Средство для растений/почвы</x:v>
      </x:c>
      <x:c r="E19" s="9" t="str">
        <x:v>Розничный каталог</x:v>
      </x:c>
      <x:c r="F19" s="9" t="str">
        <x:v>G01; C15</x:v>
      </x:c>
      <x:c r="G19" s="9" t="str">
        <x:v>N/P/K, %: 1:1,8:2,5; аминокислоты; микроэлементы</x:v>
      </x:c>
      <x:c r="H19" s="9" t="str">
        <x:v>Есть сведения; см. ограничения</x:v>
      </x:c>
      <x:c r="I19" s="9" t="str">
        <x:v>Жидкость/концентрат</x:v>
      </x:c>
      <x:c r="J19" s="10" t="n">
        <x:v>1</x:v>
      </x:c>
      <x:c r="K19" s="9" t="str">
        <x:v>См. коды и ограничения на листе «Сопоставления»</x:v>
      </x:c>
      <x:c r="L19" s="9"/>
      <x:c r="M19" s="11" t="str">
        <x:v>https://aminosil.ru/vitamini-dlya-kaktusov-i-sukkulentov-kontsentrat</x:v>
      </x:c>
      <x:c r="N19" s="11"/>
    </x:row>
    <x:row r="20" ht="68" customHeight="1">
      <x:c r="A20" s="6" t="str">
        <x:v>P0015</x:v>
      </x:c>
      <x:c r="B20" s="6" t="str">
        <x:v>Аминосил</x:v>
      </x:c>
      <x:c r="C20" s="6" t="str">
        <x:v>Витамины для клубники в гранулах</x:v>
      </x:c>
      <x:c r="D20" s="6" t="str">
        <x:v>Средство для растений/почвы</x:v>
      </x:c>
      <x:c r="E20" s="6" t="str">
        <x:v>Розничный каталог</x:v>
      </x:c>
      <x:c r="F20" s="6" t="str">
        <x:v>G01; C05</x:v>
      </x:c>
      <x:c r="G20" s="6" t="str">
        <x:v>N/P/K, %: 3:6:6; аминокислоты; микроэлементы</x:v>
      </x:c>
      <x:c r="H20" s="6" t="str">
        <x:v>Есть сведения; см. ограничения</x:v>
      </x:c>
      <x:c r="I20" s="6" t="str">
        <x:v>Гранулы/колышки/палочки</x:v>
      </x:c>
      <x:c r="J20" s="12" t="n">
        <x:v>1</x:v>
      </x:c>
      <x:c r="K20" s="6" t="str">
        <x:v>См. коды и ограничения на листе «Сопоставления»</x:v>
      </x:c>
      <x:c r="L20" s="6"/>
      <x:c r="M20" s="13" t="str">
        <x:v>https://aminosil.ru/vitamini-dlya-klubniki-v-granulah</x:v>
      </x:c>
      <x:c r="N20" s="13"/>
    </x:row>
    <x:row r="21" ht="68" customHeight="1">
      <x:c r="A21" s="9" t="str">
        <x:v>P0016</x:v>
      </x:c>
      <x:c r="B21" s="9" t="str">
        <x:v>Аминосил</x:v>
      </x:c>
      <x:c r="C21" s="9" t="str">
        <x:v>Витамины для клубники в форме концентрата</x:v>
      </x:c>
      <x:c r="D21" s="9" t="str">
        <x:v>Средство для растений/почвы</x:v>
      </x:c>
      <x:c r="E21" s="9" t="str">
        <x:v>Розничный каталог</x:v>
      </x:c>
      <x:c r="F21" s="9" t="str">
        <x:v>G01; C05</x:v>
      </x:c>
      <x:c r="G21" s="9" t="str">
        <x:v>N/P/K, %: 2,3:1:1,2; аминокислоты; микроэлементы</x:v>
      </x:c>
      <x:c r="H21" s="9" t="str">
        <x:v>Есть сведения; см. ограничения</x:v>
      </x:c>
      <x:c r="I21" s="9" t="str">
        <x:v>Жидкость/концентрат</x:v>
      </x:c>
      <x:c r="J21" s="10" t="n">
        <x:v>1</x:v>
      </x:c>
      <x:c r="K21" s="9" t="str">
        <x:v>См. коды и ограничения на листе «Сопоставления»</x:v>
      </x:c>
      <x:c r="L21" s="9"/>
      <x:c r="M21" s="11" t="str">
        <x:v>https://aminosil.ru/vitamini-dlya-klubniki-v-forme-kontsentrata</x:v>
      </x:c>
      <x:c r="N21" s="11"/>
    </x:row>
    <x:row r="22" ht="68" customHeight="1">
      <x:c r="A22" s="6" t="str">
        <x:v>P0017</x:v>
      </x:c>
      <x:c r="B22" s="6" t="str">
        <x:v>Аминосил</x:v>
      </x:c>
      <x:c r="C22" s="6" t="str">
        <x:v>Витамины для лука и чеснока в форме концентрата</x:v>
      </x:c>
      <x:c r="D22" s="6" t="str">
        <x:v>Средство для растений/почвы</x:v>
      </x:c>
      <x:c r="E22" s="6" t="str">
        <x:v>Розничный каталог</x:v>
      </x:c>
      <x:c r="F22" s="6" t="str">
        <x:v>G01; C18</x:v>
      </x:c>
      <x:c r="G22" s="6" t="str">
        <x:v>N/P/K, %: 1,2:1,8:2,5; аминокислоты; микроэлементы</x:v>
      </x:c>
      <x:c r="H22" s="6" t="str">
        <x:v>Есть сведения; см. ограничения</x:v>
      </x:c>
      <x:c r="I22" s="6" t="str">
        <x:v>Жидкость/концентрат</x:v>
      </x:c>
      <x:c r="J22" s="12" t="n">
        <x:v>1</x:v>
      </x:c>
      <x:c r="K22" s="6" t="str">
        <x:v>См. коды и ограничения на листе «Сопоставления»</x:v>
      </x:c>
      <x:c r="L22" s="6"/>
      <x:c r="M22" s="13" t="str">
        <x:v>https://aminosil.ru/vitamini-dlya-luka-i-chesnoka-forme-kontsentrata</x:v>
      </x:c>
      <x:c r="N22" s="13"/>
    </x:row>
    <x:row r="23" ht="68" customHeight="1">
      <x:c r="A23" s="9" t="str">
        <x:v>P0018</x:v>
      </x:c>
      <x:c r="B23" s="9" t="str">
        <x:v>Аминосил</x:v>
      </x:c>
      <x:c r="C23" s="9" t="str">
        <x:v>Витамины для овощей в форме гранул</x:v>
      </x:c>
      <x:c r="D23" s="9" t="str">
        <x:v>Средство для растений/почвы</x:v>
      </x:c>
      <x:c r="E23" s="9" t="str">
        <x:v>Розничный каталог</x:v>
      </x:c>
      <x:c r="F23" s="9" t="str">
        <x:v>G01; C25</x:v>
      </x:c>
      <x:c r="G23" s="9" t="str">
        <x:v>N/P/K, %: 3:5:5; аминокислоты; микроэлементы</x:v>
      </x:c>
      <x:c r="H23" s="9" t="str">
        <x:v>Есть сведения; см. ограничения</x:v>
      </x:c>
      <x:c r="I23" s="9" t="str">
        <x:v>Гранулы/колышки/палочки</x:v>
      </x:c>
      <x:c r="J23" s="10" t="n">
        <x:v>1</x:v>
      </x:c>
      <x:c r="K23" s="9" t="str">
        <x:v>См. коды и ограничения на листе «Сопоставления»</x:v>
      </x:c>
      <x:c r="L23" s="9"/>
      <x:c r="M23" s="11" t="str">
        <x:v>https://aminosil.ru/vitamini-dlya-ovoschei-granulah</x:v>
      </x:c>
      <x:c r="N23" s="11"/>
    </x:row>
    <x:row r="24" ht="68" customHeight="1">
      <x:c r="A24" s="6" t="str">
        <x:v>P0019</x:v>
      </x:c>
      <x:c r="B24" s="6" t="str">
        <x:v>Аминосил</x:v>
      </x:c>
      <x:c r="C24" s="6" t="str">
        <x:v>Витамины для овощей в форме концентрата</x:v>
      </x:c>
      <x:c r="D24" s="6" t="str">
        <x:v>Средство для растений/почвы</x:v>
      </x:c>
      <x:c r="E24" s="6" t="str">
        <x:v>Розничный каталог</x:v>
      </x:c>
      <x:c r="F24" s="6" t="str">
        <x:v>G01; C25</x:v>
      </x:c>
      <x:c r="G24" s="6" t="str">
        <x:v>N/P/K, %: 2,3:1:1,2; аминокислоты; микроэлементы</x:v>
      </x:c>
      <x:c r="H24" s="6" t="str">
        <x:v>Есть сведения; см. ограничения</x:v>
      </x:c>
      <x:c r="I24" s="6" t="str">
        <x:v>Жидкость/концентрат</x:v>
      </x:c>
      <x:c r="J24" s="12" t="n">
        <x:v>1</x:v>
      </x:c>
      <x:c r="K24" s="6" t="str">
        <x:v>См. коды и ограничения на листе «Сопоставления»</x:v>
      </x:c>
      <x:c r="L24" s="6"/>
      <x:c r="M24" s="13" t="str">
        <x:v>https://aminosil.ru/vitamini-dlya-ovoschei-v-forme-kontsentrata</x:v>
      </x:c>
      <x:c r="N24" s="13"/>
    </x:row>
    <x:row r="25" ht="68" customHeight="1">
      <x:c r="A25" s="9" t="str">
        <x:v>P0020</x:v>
      </x:c>
      <x:c r="B25" s="9" t="str">
        <x:v>Аминосил</x:v>
      </x:c>
      <x:c r="C25" s="9" t="str">
        <x:v>Витамины для овощей и рассады в гранулах</x:v>
      </x:c>
      <x:c r="D25" s="9" t="str">
        <x:v>Средство для растений/почвы</x:v>
      </x:c>
      <x:c r="E25" s="9" t="str">
        <x:v>Розничный каталог</x:v>
      </x:c>
      <x:c r="F25" s="9" t="str">
        <x:v>G01; C04; C25</x:v>
      </x:c>
      <x:c r="G25" s="9" t="str">
        <x:v>N/P/K, %: 1,5:4,5:1; аминокислоты; микроэлементы</x:v>
      </x:c>
      <x:c r="H25" s="9" t="str">
        <x:v>Есть сведения; см. ограничения</x:v>
      </x:c>
      <x:c r="I25" s="9" t="str">
        <x:v>Гранулы/колышки/палочки</x:v>
      </x:c>
      <x:c r="J25" s="10" t="n">
        <x:v>1</x:v>
      </x:c>
      <x:c r="K25" s="9" t="str">
        <x:v>См. коды и ограничения на листе «Сопоставления»</x:v>
      </x:c>
      <x:c r="L25" s="9"/>
      <x:c r="M25" s="11" t="str">
        <x:v>https://aminosil.ru/vitamini-dlya-rassadi-v-granulah</x:v>
      </x:c>
      <x:c r="N25" s="11"/>
    </x:row>
    <x:row r="26" ht="68" customHeight="1">
      <x:c r="A26" s="6" t="str">
        <x:v>P0021</x:v>
      </x:c>
      <x:c r="B26" s="6" t="str">
        <x:v>Аминосил</x:v>
      </x:c>
      <x:c r="C26" s="6" t="str">
        <x:v>Витамины для овощей и рассады в форме геля</x:v>
      </x:c>
      <x:c r="D26" s="6" t="str">
        <x:v>Средство для растений/почвы</x:v>
      </x:c>
      <x:c r="E26" s="6" t="str">
        <x:v>Розничный каталог</x:v>
      </x:c>
      <x:c r="F26" s="6" t="str">
        <x:v>G01; C04; C25</x:v>
      </x:c>
      <x:c r="G26" s="6" t="str">
        <x:v>N/P/K, %: 1,6:0,7:0,9; аминокислоты; микроэлементы; гуминовые вещества; янтарная кислота 3%; экстракт хлореллы</x:v>
      </x:c>
      <x:c r="H26" s="6" t="str">
        <x:v>Есть сведения; см. ограничения</x:v>
      </x:c>
      <x:c r="I26" s="6" t="str">
        <x:v>Гель</x:v>
      </x:c>
      <x:c r="J26" s="12" t="n">
        <x:v>1</x:v>
      </x:c>
      <x:c r="K26" s="6" t="str">
        <x:v>См. коды и ограничения на листе «Сопоставления»</x:v>
      </x:c>
      <x:c r="L26" s="6"/>
      <x:c r="M26" s="13" t="str">
        <x:v>https://aminosil.ru/vitamini-dlya-ovoschei-i-rassadi-v-forme-gelya</x:v>
      </x:c>
      <x:c r="N26" s="13"/>
    </x:row>
    <x:row r="27" ht="68" customHeight="1">
      <x:c r="A27" s="9" t="str">
        <x:v>P0022</x:v>
      </x:c>
      <x:c r="B27" s="9" t="str">
        <x:v>Аминосил</x:v>
      </x:c>
      <x:c r="C27" s="9" t="str">
        <x:v>Витамины для огурцов в форме концентрата</x:v>
      </x:c>
      <x:c r="D27" s="9" t="str">
        <x:v>Средство для растений/почвы</x:v>
      </x:c>
      <x:c r="E27" s="9" t="str">
        <x:v>Розничный каталог</x:v>
      </x:c>
      <x:c r="F27" s="9" t="str">
        <x:v>G01; C03</x:v>
      </x:c>
      <x:c r="G27" s="9" t="str">
        <x:v>N/P/K, %: 2:1,5:2,3; аминокислоты; микроэлементы</x:v>
      </x:c>
      <x:c r="H27" s="9" t="str">
        <x:v>Есть сведения; см. ограничения</x:v>
      </x:c>
      <x:c r="I27" s="9" t="str">
        <x:v>Жидкость/концентрат</x:v>
      </x:c>
      <x:c r="J27" s="10" t="n">
        <x:v>1</x:v>
      </x:c>
      <x:c r="K27" s="9" t="str">
        <x:v>См. коды и ограничения на листе «Сопоставления»</x:v>
      </x:c>
      <x:c r="L27" s="9"/>
      <x:c r="M27" s="11" t="str">
        <x:v>https://aminosil.ru/vitamini-dlya-ogurtsov-v-forme-kontsentrata</x:v>
      </x:c>
      <x:c r="N27" s="11"/>
    </x:row>
    <x:row r="28" ht="68" customHeight="1">
      <x:c r="A28" s="6" t="str">
        <x:v>P0023</x:v>
      </x:c>
      <x:c r="B28" s="6" t="str">
        <x:v>Аминосил</x:v>
      </x:c>
      <x:c r="C28" s="6" t="str">
        <x:v>Витамины для огурцов, кабачков и тыквы в гранулах</x:v>
      </x:c>
      <x:c r="D28" s="6" t="str">
        <x:v>Средство для растений/почвы</x:v>
      </x:c>
      <x:c r="E28" s="6" t="str">
        <x:v>Розничный каталог</x:v>
      </x:c>
      <x:c r="F28" s="6" t="str">
        <x:v>G01; C03</x:v>
      </x:c>
      <x:c r="G28" s="6" t="str">
        <x:v>N/P/K, %: 5,5:4,5:7,5; аминокислоты; микроэлементы</x:v>
      </x:c>
      <x:c r="H28" s="6" t="str">
        <x:v>Есть сведения; см. ограничения</x:v>
      </x:c>
      <x:c r="I28" s="6" t="str">
        <x:v>Гранулы/колышки/палочки</x:v>
      </x:c>
      <x:c r="J28" s="12" t="n">
        <x:v>1</x:v>
      </x:c>
      <x:c r="K28" s="6" t="str">
        <x:v>См. коды и ограничения на листе «Сопоставления»</x:v>
      </x:c>
      <x:c r="L28" s="6"/>
      <x:c r="M28" s="13" t="str">
        <x:v>https://aminosil.ru/vitamini-dlya-ogurtsov-kabachkov-v-granulah</x:v>
      </x:c>
      <x:c r="N28" s="13"/>
    </x:row>
    <x:row r="29" ht="68" customHeight="1">
      <x:c r="A29" s="9" t="str">
        <x:v>P0024</x:v>
      </x:c>
      <x:c r="B29" s="9" t="str">
        <x:v>Аминосил</x:v>
      </x:c>
      <x:c r="C29" s="9" t="str">
        <x:v>Витамины для орхидей в гранулах</x:v>
      </x:c>
      <x:c r="D29" s="9" t="str">
        <x:v>Средство для растений/почвы</x:v>
      </x:c>
      <x:c r="E29" s="9" t="str">
        <x:v>Розничный каталог</x:v>
      </x:c>
      <x:c r="F29" s="9" t="str">
        <x:v>G01; C12</x:v>
      </x:c>
      <x:c r="G29" s="9" t="str">
        <x:v>N/P/K, %: 2:2,3:2,3; аминокислоты; микроэлементы</x:v>
      </x:c>
      <x:c r="H29" s="9" t="str">
        <x:v>Есть сведения; см. ограничения</x:v>
      </x:c>
      <x:c r="I29" s="9" t="str">
        <x:v>Гранулы/колышки/палочки</x:v>
      </x:c>
      <x:c r="J29" s="10" t="n">
        <x:v>1</x:v>
      </x:c>
      <x:c r="K29" s="9" t="str">
        <x:v>См. коды и ограничения на листе «Сопоставления»</x:v>
      </x:c>
      <x:c r="L29" s="9"/>
      <x:c r="M29" s="11" t="str">
        <x:v>https://aminosil.ru/vitamini-dlya-orhidei-v-granulah</x:v>
      </x:c>
      <x:c r="N29" s="11"/>
    </x:row>
    <x:row r="30" ht="68" customHeight="1">
      <x:c r="A30" s="6" t="str">
        <x:v>P0025</x:v>
      </x:c>
      <x:c r="B30" s="6" t="str">
        <x:v>Аминосил</x:v>
      </x:c>
      <x:c r="C30" s="6" t="str">
        <x:v>Витамины для орхидей в форме геля</x:v>
      </x:c>
      <x:c r="D30" s="6" t="str">
        <x:v>Средство для растений/почвы</x:v>
      </x:c>
      <x:c r="E30" s="6" t="str">
        <x:v>Розничный каталог</x:v>
      </x:c>
      <x:c r="F30" s="6" t="str">
        <x:v>G01; C12</x:v>
      </x:c>
      <x:c r="G30" s="6" t="str">
        <x:v>N/P/K, %: 1,6:0,9:1; аминокислоты; микроэлементы; гуминовые вещества; янтарная кислота 3%; экстракт хлореллы</x:v>
      </x:c>
      <x:c r="H30" s="6" t="str">
        <x:v>Есть сведения; см. ограничения</x:v>
      </x:c>
      <x:c r="I30" s="6" t="str">
        <x:v>Гель</x:v>
      </x:c>
      <x:c r="J30" s="12" t="n">
        <x:v>1</x:v>
      </x:c>
      <x:c r="K30" s="6" t="str">
        <x:v>См. коды и ограничения на листе «Сопоставления»</x:v>
      </x:c>
      <x:c r="L30" s="6"/>
      <x:c r="M30" s="13" t="str">
        <x:v>https://aminosil.ru/vitamini-dlya-orhidei-v-forme-gelya</x:v>
      </x:c>
      <x:c r="N30" s="13"/>
    </x:row>
    <x:row r="31" ht="68" customHeight="1">
      <x:c r="A31" s="9" t="str">
        <x:v>P0026</x:v>
      </x:c>
      <x:c r="B31" s="9" t="str">
        <x:v>Аминосил</x:v>
      </x:c>
      <x:c r="C31" s="9" t="str">
        <x:v>Витамины для орхидей в форме концентрата</x:v>
      </x:c>
      <x:c r="D31" s="9" t="str">
        <x:v>Средство для растений/почвы</x:v>
      </x:c>
      <x:c r="E31" s="9" t="str">
        <x:v>Розничный каталог</x:v>
      </x:c>
      <x:c r="F31" s="9" t="str">
        <x:v>G01; C12</x:v>
      </x:c>
      <x:c r="G31" s="9" t="str">
        <x:v>N/P/K, %: 2,3:1,2:1; аминокислоты; микроэлементы</x:v>
      </x:c>
      <x:c r="H31" s="9" t="str">
        <x:v>Есть сведения; см. ограничения</x:v>
      </x:c>
      <x:c r="I31" s="9" t="str">
        <x:v>Жидкость/концентрат</x:v>
      </x:c>
      <x:c r="J31" s="10" t="n">
        <x:v>1</x:v>
      </x:c>
      <x:c r="K31" s="9" t="str">
        <x:v>См. коды и ограничения на листе «Сопоставления»</x:v>
      </x:c>
      <x:c r="L31" s="9"/>
      <x:c r="M31" s="11" t="str">
        <x:v>https://aminosil.ru/vitamini-dlya-orhidei-v-forme-kontsentra</x:v>
      </x:c>
      <x:c r="N31" s="11"/>
    </x:row>
    <x:row r="32" ht="68" customHeight="1">
      <x:c r="A32" s="6" t="str">
        <x:v>P0027</x:v>
      </x:c>
      <x:c r="B32" s="6" t="str">
        <x:v>Аминосил</x:v>
      </x:c>
      <x:c r="C32" s="6" t="str">
        <x:v>Витамины для петуний в форме гранул</x:v>
      </x:c>
      <x:c r="D32" s="6" t="str">
        <x:v>Средство для растений/почвы</x:v>
      </x:c>
      <x:c r="E32" s="6" t="str">
        <x:v>Розничный каталог</x:v>
      </x:c>
      <x:c r="F32" s="6" t="str">
        <x:v>G01; C17</x:v>
      </x:c>
      <x:c r="G32" s="6" t="str">
        <x:v>N/P/K, %: 5,5:5,5:7; аминокислоты; микроэлементы</x:v>
      </x:c>
      <x:c r="H32" s="6" t="str">
        <x:v>Есть сведения; см. ограничения</x:v>
      </x:c>
      <x:c r="I32" s="6" t="str">
        <x:v>Гранулы/колышки/палочки</x:v>
      </x:c>
      <x:c r="J32" s="12" t="n">
        <x:v>1</x:v>
      </x:c>
      <x:c r="K32" s="6" t="str">
        <x:v>См. коды и ограничения на листе «Сопоставления»</x:v>
      </x:c>
      <x:c r="L32" s="6"/>
      <x:c r="M32" s="13" t="str">
        <x:v>https://aminosil.ru/vitamini-dlya-petunii-v-granulah</x:v>
      </x:c>
      <x:c r="N32" s="13"/>
    </x:row>
    <x:row r="33" ht="68" customHeight="1">
      <x:c r="A33" s="9" t="str">
        <x:v>P0028</x:v>
      </x:c>
      <x:c r="B33" s="9" t="str">
        <x:v>Аминосил</x:v>
      </x:c>
      <x:c r="C33" s="9" t="str">
        <x:v>Витамины для петуний в форме концентрата</x:v>
      </x:c>
      <x:c r="D33" s="9" t="str">
        <x:v>Средство для растений/почвы</x:v>
      </x:c>
      <x:c r="E33" s="9" t="str">
        <x:v>Розничный каталог</x:v>
      </x:c>
      <x:c r="F33" s="9" t="str">
        <x:v>G01; C17</x:v>
      </x:c>
      <x:c r="G33" s="9" t="str">
        <x:v>N/P/K, %: 2:2:2,5; аминокислоты; микроэлементы; гуминовые вещества</x:v>
      </x:c>
      <x:c r="H33" s="9" t="str">
        <x:v>Есть сведения; см. ограничения</x:v>
      </x:c>
      <x:c r="I33" s="9" t="str">
        <x:v>Жидкость/концентрат</x:v>
      </x:c>
      <x:c r="J33" s="10" t="n">
        <x:v>1</x:v>
      </x:c>
      <x:c r="K33" s="9" t="str">
        <x:v>См. коды и ограничения на листе «Сопоставления»</x:v>
      </x:c>
      <x:c r="L33" s="9"/>
      <x:c r="M33" s="11" t="str">
        <x:v>https://aminosil.ru/vitamini-dlya-petunii-v-forme-kontsentra</x:v>
      </x:c>
      <x:c r="N33" s="11"/>
    </x:row>
    <x:row r="34" ht="68" customHeight="1">
      <x:c r="A34" s="6" t="str">
        <x:v>P0029</x:v>
      </x:c>
      <x:c r="B34" s="6" t="str">
        <x:v>Аминосил</x:v>
      </x:c>
      <x:c r="C34" s="6" t="str">
        <x:v>Витамины для пионов в форме гранул</x:v>
      </x:c>
      <x:c r="D34" s="6" t="str">
        <x:v>Средство для растений/почвы</x:v>
      </x:c>
      <x:c r="E34" s="6" t="str">
        <x:v>Розничный каталог</x:v>
      </x:c>
      <x:c r="F34" s="6" t="str">
        <x:v>G01; C06</x:v>
      </x:c>
      <x:c r="G34" s="6" t="str">
        <x:v>N/P/K, %: 3:8:8; аминокислоты; микроэлементы</x:v>
      </x:c>
      <x:c r="H34" s="6" t="str">
        <x:v>Есть сведения; см. ограничения</x:v>
      </x:c>
      <x:c r="I34" s="6" t="str">
        <x:v>Гранулы/колышки/палочки</x:v>
      </x:c>
      <x:c r="J34" s="12" t="n">
        <x:v>1</x:v>
      </x:c>
      <x:c r="K34" s="6" t="str">
        <x:v>См. коды и ограничения на листе «Сопоставления»</x:v>
      </x:c>
      <x:c r="L34" s="6"/>
      <x:c r="M34" s="13" t="str">
        <x:v>https://aminosil.ru/vitamini-dlya-pionov-v-forme-granul</x:v>
      </x:c>
      <x:c r="N34" s="13"/>
    </x:row>
    <x:row r="35" ht="68" customHeight="1">
      <x:c r="A35" s="9" t="str">
        <x:v>P0030</x:v>
      </x:c>
      <x:c r="B35" s="9" t="str">
        <x:v>Аминосил</x:v>
      </x:c>
      <x:c r="C35" s="9" t="str">
        <x:v>Витамины для пионов в форме концентрата</x:v>
      </x:c>
      <x:c r="D35" s="9" t="str">
        <x:v>Средство для растений/почвы</x:v>
      </x:c>
      <x:c r="E35" s="9" t="str">
        <x:v>Розничный каталог</x:v>
      </x:c>
      <x:c r="F35" s="9" t="str">
        <x:v>G01; C06</x:v>
      </x:c>
      <x:c r="G35" s="9" t="str">
        <x:v>N/P/K, %: 1,2:2,3:2; аминокислоты; микроэлементы; гуминовые вещества</x:v>
      </x:c>
      <x:c r="H35" s="9" t="str">
        <x:v>Есть сведения; см. ограничения</x:v>
      </x:c>
      <x:c r="I35" s="9" t="str">
        <x:v>Жидкость/концентрат</x:v>
      </x:c>
      <x:c r="J35" s="10" t="n">
        <x:v>1</x:v>
      </x:c>
      <x:c r="K35" s="9" t="str">
        <x:v>См. коды и ограничения на листе «Сопоставления»</x:v>
      </x:c>
      <x:c r="L35" s="9"/>
      <x:c r="M35" s="11" t="str">
        <x:v>https://aminosil.ru/vitamini-dlya-pionov-forme-kontsentrata</x:v>
      </x:c>
      <x:c r="N35" s="11"/>
    </x:row>
    <x:row r="36" ht="68" customHeight="1">
      <x:c r="A36" s="6" t="str">
        <x:v>P0031</x:v>
      </x:c>
      <x:c r="B36" s="6" t="str">
        <x:v>Аминосил</x:v>
      </x:c>
      <x:c r="C36" s="6" t="str">
        <x:v>Витамины для рассады в форме концентрата</x:v>
      </x:c>
      <x:c r="D36" s="6" t="str">
        <x:v>Средство для растений/почвы</x:v>
      </x:c>
      <x:c r="E36" s="6" t="str">
        <x:v>Розничный каталог</x:v>
      </x:c>
      <x:c r="F36" s="6" t="str">
        <x:v>G01; C04</x:v>
      </x:c>
      <x:c r="G36" s="6" t="str">
        <x:v>N/P/K, %: 0,5:2:1; аминокислоты; микроэлементы</x:v>
      </x:c>
      <x:c r="H36" s="6" t="str">
        <x:v>Есть сведения; см. ограничения</x:v>
      </x:c>
      <x:c r="I36" s="6" t="str">
        <x:v>Жидкость/концентрат</x:v>
      </x:c>
      <x:c r="J36" s="12" t="n">
        <x:v>1</x:v>
      </x:c>
      <x:c r="K36" s="6" t="str">
        <x:v>См. коды и ограничения на листе «Сопоставления»</x:v>
      </x:c>
      <x:c r="L36" s="6"/>
      <x:c r="M36" s="13" t="str">
        <x:v>https://aminosil.ru/vitamini-dlya-rassady-v-forme-kontsentra</x:v>
      </x:c>
      <x:c r="N36" s="13"/>
    </x:row>
    <x:row r="37" ht="68" customHeight="1">
      <x:c r="A37" s="9" t="str">
        <x:v>P0032</x:v>
      </x:c>
      <x:c r="B37" s="9" t="str">
        <x:v>Аминосил</x:v>
      </x:c>
      <x:c r="C37" s="9" t="str">
        <x:v>Витамины для роз в гранулах</x:v>
      </x:c>
      <x:c r="D37" s="9" t="str">
        <x:v>Средство для растений/почвы</x:v>
      </x:c>
      <x:c r="E37" s="9" t="str">
        <x:v>Розничный каталог</x:v>
      </x:c>
      <x:c r="F37" s="9" t="str">
        <x:v>G01; C06</x:v>
      </x:c>
      <x:c r="G37" s="9" t="str">
        <x:v>N/P/K, %: 4:6:8; аминокислоты; микроэлементы</x:v>
      </x:c>
      <x:c r="H37" s="9" t="str">
        <x:v>Есть сведения; см. ограничения</x:v>
      </x:c>
      <x:c r="I37" s="9" t="str">
        <x:v>Гранулы/колышки/палочки</x:v>
      </x:c>
      <x:c r="J37" s="10" t="n">
        <x:v>1</x:v>
      </x:c>
      <x:c r="K37" s="9" t="str">
        <x:v>См. коды и ограничения на листе «Сопоставления»</x:v>
      </x:c>
      <x:c r="L37" s="9"/>
      <x:c r="M37" s="11" t="str">
        <x:v>https://aminosil.ru/vitamini-dlya-roz-v-granulah</x:v>
      </x:c>
      <x:c r="N37" s="11"/>
    </x:row>
    <x:row r="38" ht="68" customHeight="1">
      <x:c r="A38" s="6" t="str">
        <x:v>P0033</x:v>
      </x:c>
      <x:c r="B38" s="6" t="str">
        <x:v>Аминосил</x:v>
      </x:c>
      <x:c r="C38" s="6" t="str">
        <x:v>Витамины для роз в форме геля</x:v>
      </x:c>
      <x:c r="D38" s="6" t="str">
        <x:v>Средство для растений/почвы</x:v>
      </x:c>
      <x:c r="E38" s="6" t="str">
        <x:v>Розничный каталог</x:v>
      </x:c>
      <x:c r="F38" s="6" t="str">
        <x:v>G01; C06</x:v>
      </x:c>
      <x:c r="G38" s="6" t="str">
        <x:v>N/P/K, %: 1,1:1,6:1,8; аминокислоты; микроэлементы; гуминовые вещества; янтарная кислота 3%; экстракт хлореллы</x:v>
      </x:c>
      <x:c r="H38" s="6" t="str">
        <x:v>Есть сведения; см. ограничения</x:v>
      </x:c>
      <x:c r="I38" s="6" t="str">
        <x:v>Гель</x:v>
      </x:c>
      <x:c r="J38" s="12" t="n">
        <x:v>1</x:v>
      </x:c>
      <x:c r="K38" s="6" t="str">
        <x:v>См. коды и ограничения на листе «Сопоставления»</x:v>
      </x:c>
      <x:c r="L38" s="6"/>
      <x:c r="M38" s="13" t="str">
        <x:v>https://aminosil.ru/vitamini-dlya-roz-v-forme-gelya</x:v>
      </x:c>
      <x:c r="N38" s="13"/>
    </x:row>
    <x:row r="39" ht="68" customHeight="1">
      <x:c r="A39" s="9" t="str">
        <x:v>P0034</x:v>
      </x:c>
      <x:c r="B39" s="9" t="str">
        <x:v>Аминосил</x:v>
      </x:c>
      <x:c r="C39" s="9" t="str">
        <x:v>Витамины для роз в форме концентрата</x:v>
      </x:c>
      <x:c r="D39" s="9" t="str">
        <x:v>Средство для растений/почвы</x:v>
      </x:c>
      <x:c r="E39" s="9" t="str">
        <x:v>Розничный каталог</x:v>
      </x:c>
      <x:c r="F39" s="9" t="str">
        <x:v>G01; C06</x:v>
      </x:c>
      <x:c r="G39" s="9" t="str">
        <x:v>N/P/K, %: 1,5:2:2,3; аминокислоты; микроэлементы</x:v>
      </x:c>
      <x:c r="H39" s="9" t="str">
        <x:v>Есть сведения; см. ограничения</x:v>
      </x:c>
      <x:c r="I39" s="9" t="str">
        <x:v>Жидкость/концентрат</x:v>
      </x:c>
      <x:c r="J39" s="10" t="n">
        <x:v>1</x:v>
      </x:c>
      <x:c r="K39" s="9" t="str">
        <x:v>См. коды и ограничения на листе «Сопоставления»</x:v>
      </x:c>
      <x:c r="L39" s="9"/>
      <x:c r="M39" s="11" t="str">
        <x:v>https://aminosil.ru/vitamini-dlya-roz-forme-kontsentrata</x:v>
      </x:c>
      <x:c r="N39" s="11"/>
    </x:row>
    <x:row r="40" ht="68" customHeight="1">
      <x:c r="A40" s="6" t="str">
        <x:v>P0035</x:v>
      </x:c>
      <x:c r="B40" s="6" t="str">
        <x:v>Аминосил</x:v>
      </x:c>
      <x:c r="C40" s="6" t="str">
        <x:v>Витамины для томатов в форме концентрата</x:v>
      </x:c>
      <x:c r="D40" s="6" t="str">
        <x:v>Средство для растений/почвы</x:v>
      </x:c>
      <x:c r="E40" s="6" t="str">
        <x:v>Розничный каталог</x:v>
      </x:c>
      <x:c r="F40" s="6" t="str">
        <x:v>G01; C02</x:v>
      </x:c>
      <x:c r="G40" s="6" t="str">
        <x:v>N/P/K, %: 1,5:2:2,3; аминокислоты; микроэлементы</x:v>
      </x:c>
      <x:c r="H40" s="6" t="str">
        <x:v>Есть сведения; см. ограничения</x:v>
      </x:c>
      <x:c r="I40" s="6" t="str">
        <x:v>Жидкость/концентрат</x:v>
      </x:c>
      <x:c r="J40" s="12" t="n">
        <x:v>1</x:v>
      </x:c>
      <x:c r="K40" s="6" t="str">
        <x:v>См. коды и ограничения на листе «Сопоставления»</x:v>
      </x:c>
      <x:c r="L40" s="6"/>
      <x:c r="M40" s="13" t="str">
        <x:v>https://aminosil.ru/vitamini-dlya-tomatov-v-forme-kontsentrata</x:v>
      </x:c>
      <x:c r="N40" s="13"/>
    </x:row>
    <x:row r="41" ht="68" customHeight="1">
      <x:c r="A41" s="9" t="str">
        <x:v>P0036</x:v>
      </x:c>
      <x:c r="B41" s="9" t="str">
        <x:v>Аминосил</x:v>
      </x:c>
      <x:c r="C41" s="9" t="str">
        <x:v>Витамины для томатов, баклажанов и перцев в гранулах</x:v>
      </x:c>
      <x:c r="D41" s="9" t="str">
        <x:v>Средство для растений/почвы</x:v>
      </x:c>
      <x:c r="E41" s="9" t="str">
        <x:v>Розничный каталог</x:v>
      </x:c>
      <x:c r="F41" s="9" t="str">
        <x:v>G01; C02</x:v>
      </x:c>
      <x:c r="G41" s="9" t="str">
        <x:v>N/P/K, %: 4:5,5:8,5; аминокислоты; микроэлементы</x:v>
      </x:c>
      <x:c r="H41" s="9" t="str">
        <x:v>Есть сведения; см. ограничения</x:v>
      </x:c>
      <x:c r="I41" s="9" t="str">
        <x:v>Гранулы/колышки/палочки</x:v>
      </x:c>
      <x:c r="J41" s="10" t="n">
        <x:v>1</x:v>
      </x:c>
      <x:c r="K41" s="9" t="str">
        <x:v>См. коды и ограничения на листе «Сопоставления»</x:v>
      </x:c>
      <x:c r="L41" s="9"/>
      <x:c r="M41" s="11" t="str">
        <x:v>https://aminosil.ru/vitamini-dlya-tomatov-percev-v-granulah</x:v>
      </x:c>
      <x:c r="N41" s="11"/>
    </x:row>
    <x:row r="42" ht="68" customHeight="1">
      <x:c r="A42" s="6" t="str">
        <x:v>P0037</x:v>
      </x:c>
      <x:c r="B42" s="6" t="str">
        <x:v>Аминосил</x:v>
      </x:c>
      <x:c r="C42" s="6" t="str">
        <x:v>Витамины для туй в форме концентрата</x:v>
      </x:c>
      <x:c r="D42" s="6" t="str">
        <x:v>Средство для растений/почвы</x:v>
      </x:c>
      <x:c r="E42" s="6" t="str">
        <x:v>Розничный каталог</x:v>
      </x:c>
      <x:c r="F42" s="6" t="str">
        <x:v>G01; C09</x:v>
      </x:c>
      <x:c r="G42" s="6" t="str">
        <x:v>N/P/K, %: 2,5:2,5:2; аминокислоты; микроэлементы</x:v>
      </x:c>
      <x:c r="H42" s="6" t="str">
        <x:v>Есть сведения; см. ограничения</x:v>
      </x:c>
      <x:c r="I42" s="6" t="str">
        <x:v>Жидкость/концентрат</x:v>
      </x:c>
      <x:c r="J42" s="12" t="n">
        <x:v>1</x:v>
      </x:c>
      <x:c r="K42" s="6" t="str">
        <x:v>См. коды и ограничения на листе «Сопоставления»</x:v>
      </x:c>
      <x:c r="L42" s="6"/>
      <x:c r="M42" s="13" t="str">
        <x:v>https://aminosil.ru/vitamini-dlya-tui-v-forme-kontsentra</x:v>
      </x:c>
      <x:c r="N42" s="13"/>
    </x:row>
    <x:row r="43" ht="68" customHeight="1">
      <x:c r="A43" s="9" t="str">
        <x:v>P0038</x:v>
      </x:c>
      <x:c r="B43" s="9" t="str">
        <x:v>Аминосил</x:v>
      </x:c>
      <x:c r="C43" s="9" t="str">
        <x:v>Витамины для фиалок в форме геля</x:v>
      </x:c>
      <x:c r="D43" s="9" t="str">
        <x:v>Средство для растений/почвы</x:v>
      </x:c>
      <x:c r="E43" s="9" t="str">
        <x:v>Розничный каталог</x:v>
      </x:c>
      <x:c r="F43" s="9" t="str">
        <x:v>G01; C14</x:v>
      </x:c>
      <x:c r="G43" s="9" t="str">
        <x:v>N/P/K, %: 1,2:1,5:2,2; аминокислоты; микроэлементы; гуминовые вещества; янтарная кислота 3%; экстракт хлореллы</x:v>
      </x:c>
      <x:c r="H43" s="9" t="str">
        <x:v>Есть сведения; см. ограничения</x:v>
      </x:c>
      <x:c r="I43" s="9" t="str">
        <x:v>Гель</x:v>
      </x:c>
      <x:c r="J43" s="10" t="n">
        <x:v>1</x:v>
      </x:c>
      <x:c r="K43" s="9" t="str">
        <x:v>См. коды и ограничения на листе «Сопоставления»</x:v>
      </x:c>
      <x:c r="L43" s="9"/>
      <x:c r="M43" s="11" t="str">
        <x:v>https://aminosil.ru/vitamini-dlya-fialok-v-forme-gelya</x:v>
      </x:c>
      <x:c r="N43" s="11"/>
    </x:row>
    <x:row r="44" ht="68" customHeight="1">
      <x:c r="A44" s="6" t="str">
        <x:v>P0039</x:v>
      </x:c>
      <x:c r="B44" s="6" t="str">
        <x:v>Аминосил</x:v>
      </x:c>
      <x:c r="C44" s="6" t="str">
        <x:v>Витамины для фиалок в форме концентрата</x:v>
      </x:c>
      <x:c r="D44" s="6" t="str">
        <x:v>Средство для растений/почвы</x:v>
      </x:c>
      <x:c r="E44" s="6" t="str">
        <x:v>Розничный каталог</x:v>
      </x:c>
      <x:c r="F44" s="6" t="str">
        <x:v>G01; C14</x:v>
      </x:c>
      <x:c r="G44" s="6" t="str">
        <x:v>N/P/K, %: 1,2:1,5:2,2; аминокислоты; микроэлементы</x:v>
      </x:c>
      <x:c r="H44" s="6" t="str">
        <x:v>Есть сведения; см. ограничения</x:v>
      </x:c>
      <x:c r="I44" s="6" t="str">
        <x:v>Жидкость/концентрат</x:v>
      </x:c>
      <x:c r="J44" s="12" t="n">
        <x:v>1</x:v>
      </x:c>
      <x:c r="K44" s="6" t="str">
        <x:v>См. коды и ограничения на листе «Сопоставления»</x:v>
      </x:c>
      <x:c r="L44" s="6"/>
      <x:c r="M44" s="13" t="str">
        <x:v>https://aminosil.ru/vitamini-dlya-fialok-v-forme-kontsentrata</x:v>
      </x:c>
      <x:c r="N44" s="13"/>
    </x:row>
    <x:row r="45" ht="68" customHeight="1">
      <x:c r="A45" s="9" t="str">
        <x:v>P0040</x:v>
      </x:c>
      <x:c r="B45" s="9" t="str">
        <x:v>Аминосил</x:v>
      </x:c>
      <x:c r="C45" s="9" t="str">
        <x:v>Витамины для фикусов и пальм в форме концентрата</x:v>
      </x:c>
      <x:c r="D45" s="9" t="str">
        <x:v>Средство для растений/почвы</x:v>
      </x:c>
      <x:c r="E45" s="9" t="str">
        <x:v>Розничный каталог</x:v>
      </x:c>
      <x:c r="F45" s="9" t="str">
        <x:v>G01; C13</x:v>
      </x:c>
      <x:c r="G45" s="9" t="str">
        <x:v>N/P/K, %: 2,5:1:2; аминокислоты; микроэлементы</x:v>
      </x:c>
      <x:c r="H45" s="9" t="str">
        <x:v>Есть сведения; см. ограничения</x:v>
      </x:c>
      <x:c r="I45" s="9" t="str">
        <x:v>Жидкость/концентрат</x:v>
      </x:c>
      <x:c r="J45" s="10" t="n">
        <x:v>1</x:v>
      </x:c>
      <x:c r="K45" s="9" t="str">
        <x:v>См. коды и ограничения на листе «Сопоставления»</x:v>
      </x:c>
      <x:c r="L45" s="9"/>
      <x:c r="M45" s="11" t="str">
        <x:v>https://aminosil.ru/vitamini-dlya-fikusov-i-palm-v-forme-kontsentrata</x:v>
      </x:c>
      <x:c r="N45" s="11"/>
    </x:row>
    <x:row r="46" ht="68" customHeight="1">
      <x:c r="A46" s="6" t="str">
        <x:v>P0041</x:v>
      </x:c>
      <x:c r="B46" s="6" t="str">
        <x:v>Аминосил</x:v>
      </x:c>
      <x:c r="C46" s="6" t="str">
        <x:v>Витамины для хвойных в форме концентрата</x:v>
      </x:c>
      <x:c r="D46" s="6" t="str">
        <x:v>Средство для растений/почвы</x:v>
      </x:c>
      <x:c r="E46" s="6" t="str">
        <x:v>Розничный каталог</x:v>
      </x:c>
      <x:c r="F46" s="6" t="str">
        <x:v>G01; C09</x:v>
      </x:c>
      <x:c r="G46" s="6" t="str">
        <x:v>N/P/K, %: 2,3:2:1,5; аминокислоты; микроэлементы</x:v>
      </x:c>
      <x:c r="H46" s="6" t="str">
        <x:v>Есть сведения; см. ограничения</x:v>
      </x:c>
      <x:c r="I46" s="6" t="str">
        <x:v>Жидкость/концентрат</x:v>
      </x:c>
      <x:c r="J46" s="12" t="n">
        <x:v>1</x:v>
      </x:c>
      <x:c r="K46" s="6" t="str">
        <x:v>См. коды и ограничения на листе «Сопоставления»</x:v>
      </x:c>
      <x:c r="L46" s="6"/>
      <x:c r="M46" s="13" t="str">
        <x:v>https://aminosil.ru/vitamini-dlya-hvoinih-v-forme-kontsentra</x:v>
      </x:c>
      <x:c r="N46" s="13"/>
    </x:row>
    <x:row r="47" ht="68" customHeight="1">
      <x:c r="A47" s="9" t="str">
        <x:v>P0042</x:v>
      </x:c>
      <x:c r="B47" s="9" t="str">
        <x:v>Аминосил</x:v>
      </x:c>
      <x:c r="C47" s="9" t="str">
        <x:v>Витамины для хвойных растений в гранулах</x:v>
      </x:c>
      <x:c r="D47" s="9" t="str">
        <x:v>Средство для растений/почвы</x:v>
      </x:c>
      <x:c r="E47" s="9" t="str">
        <x:v>Розничный каталог</x:v>
      </x:c>
      <x:c r="F47" s="9" t="str">
        <x:v>G01; C09</x:v>
      </x:c>
      <x:c r="G47" s="9" t="str">
        <x:v>N/P/K, %: 6:4:8; аминокислоты; микроэлементы</x:v>
      </x:c>
      <x:c r="H47" s="9" t="str">
        <x:v>Есть сведения; см. ограничения</x:v>
      </x:c>
      <x:c r="I47" s="9" t="str">
        <x:v>Гранулы/колышки/палочки</x:v>
      </x:c>
      <x:c r="J47" s="10" t="n">
        <x:v>1</x:v>
      </x:c>
      <x:c r="K47" s="9" t="str">
        <x:v>См. коды и ограничения на листе «Сопоставления»</x:v>
      </x:c>
      <x:c r="L47" s="9"/>
      <x:c r="M47" s="11" t="str">
        <x:v>https://aminosil.ru/vitamini-dlya-hvoinih-rastenii-v-granulah</x:v>
      </x:c>
      <x:c r="N47" s="11"/>
    </x:row>
    <x:row r="48" ht="68" customHeight="1">
      <x:c r="A48" s="6" t="str">
        <x:v>P0043</x:v>
      </x:c>
      <x:c r="B48" s="6" t="str">
        <x:v>Аминосил</x:v>
      </x:c>
      <x:c r="C48" s="6" t="str">
        <x:v>Витамины для хвойных растений в форме геля</x:v>
      </x:c>
      <x:c r="D48" s="6" t="str">
        <x:v>Средство для растений/почвы</x:v>
      </x:c>
      <x:c r="E48" s="6" t="str">
        <x:v>Розничный каталог</x:v>
      </x:c>
      <x:c r="F48" s="6" t="str">
        <x:v>G01; C09</x:v>
      </x:c>
      <x:c r="G48" s="6" t="str">
        <x:v>N/P/K, %: 1,8:1,6:1,1; аминокислоты; микроэлементы; гуминовые вещества; янтарная кислота 3%; экстракт хлореллы</x:v>
      </x:c>
      <x:c r="H48" s="6" t="str">
        <x:v>Есть сведения; см. ограничения</x:v>
      </x:c>
      <x:c r="I48" s="6" t="str">
        <x:v>Гель</x:v>
      </x:c>
      <x:c r="J48" s="12" t="n">
        <x:v>1</x:v>
      </x:c>
      <x:c r="K48" s="6" t="str">
        <x:v>См. коды и ограничения на листе «Сопоставления»</x:v>
      </x:c>
      <x:c r="L48" s="6"/>
      <x:c r="M48" s="13" t="str">
        <x:v>https://aminosil.ru/-vitamini-dlya-hvoinih-rastenii-v-forme-gelya</x:v>
      </x:c>
      <x:c r="N48" s="13"/>
    </x:row>
    <x:row r="49" ht="68" customHeight="1">
      <x:c r="A49" s="9" t="str">
        <x:v>P0044</x:v>
      </x:c>
      <x:c r="B49" s="9" t="str">
        <x:v>Аминосил</x:v>
      </x:c>
      <x:c r="C49" s="9" t="str">
        <x:v>Витамины для цветов в гранулах</x:v>
      </x:c>
      <x:c r="D49" s="9" t="str">
        <x:v>Средство для растений/почвы</x:v>
      </x:c>
      <x:c r="E49" s="9" t="str">
        <x:v>Розничный каталог</x:v>
      </x:c>
      <x:c r="F49" s="9" t="str">
        <x:v>G01; C17</x:v>
      </x:c>
      <x:c r="G49" s="9" t="str">
        <x:v>N/P/K, %: 2:2:2,5; аминокислоты; микроэлементы</x:v>
      </x:c>
      <x:c r="H49" s="9" t="str">
        <x:v>Есть сведения; см. ограничения</x:v>
      </x:c>
      <x:c r="I49" s="9" t="str">
        <x:v>Гранулы/колышки/палочки</x:v>
      </x:c>
      <x:c r="J49" s="10" t="n">
        <x:v>1</x:v>
      </x:c>
      <x:c r="K49" s="9" t="str">
        <x:v>См. коды и ограничения на листе «Сопоставления»</x:v>
      </x:c>
      <x:c r="L49" s="9"/>
      <x:c r="M49" s="11" t="str">
        <x:v>https://aminosil.ru/vitamini-dlya-tsvetov-v-granulah</x:v>
      </x:c>
      <x:c r="N49" s="11"/>
    </x:row>
    <x:row r="50" ht="68" customHeight="1">
      <x:c r="A50" s="6" t="str">
        <x:v>P0045</x:v>
      </x:c>
      <x:c r="B50" s="6" t="str">
        <x:v>Аминосил</x:v>
      </x:c>
      <x:c r="C50" s="6" t="str">
        <x:v>Витамины для цветов в форме геля</x:v>
      </x:c>
      <x:c r="D50" s="6" t="str">
        <x:v>Средство для растений/почвы</x:v>
      </x:c>
      <x:c r="E50" s="6" t="str">
        <x:v>Розничный каталог</x:v>
      </x:c>
      <x:c r="F50" s="6" t="str">
        <x:v>G01; C17</x:v>
      </x:c>
      <x:c r="G50" s="6" t="str">
        <x:v>N/P/K, %: 1.1:1.3:1,4; аминокислоты; микроэлементы; гуминовые вещества; янтарная кислота 3%; экстракт хлореллы</x:v>
      </x:c>
      <x:c r="H50" s="6" t="str">
        <x:v>Есть сведения; см. ограничения</x:v>
      </x:c>
      <x:c r="I50" s="6" t="str">
        <x:v>Гель</x:v>
      </x:c>
      <x:c r="J50" s="12" t="n">
        <x:v>1</x:v>
      </x:c>
      <x:c r="K50" s="6" t="str">
        <x:v>См. коды и ограничения на листе «Сопоставления»</x:v>
      </x:c>
      <x:c r="L50" s="6"/>
      <x:c r="M50" s="13" t="str">
        <x:v>https://aminosil.ru/vitamini-dlya-tsvetov-v-forme-gelya</x:v>
      </x:c>
      <x:c r="N50" s="13"/>
    </x:row>
    <x:row r="51" ht="68" customHeight="1">
      <x:c r="A51" s="9" t="str">
        <x:v>P0046</x:v>
      </x:c>
      <x:c r="B51" s="9" t="str">
        <x:v>Аминосил</x:v>
      </x:c>
      <x:c r="C51" s="9" t="str">
        <x:v>Витамины для цветов в форме концентрата</x:v>
      </x:c>
      <x:c r="D51" s="9" t="str">
        <x:v>Средство для растений/почвы</x:v>
      </x:c>
      <x:c r="E51" s="9" t="str">
        <x:v>Розничный каталог</x:v>
      </x:c>
      <x:c r="F51" s="9" t="str">
        <x:v>G01; C17</x:v>
      </x:c>
      <x:c r="G51" s="9" t="str">
        <x:v>N/P/K, %: 1,6:1,8:2; аминокислоты; микроэлементы</x:v>
      </x:c>
      <x:c r="H51" s="9" t="str">
        <x:v>Есть сведения; см. ограничения</x:v>
      </x:c>
      <x:c r="I51" s="9" t="str">
        <x:v>Жидкость/концентрат</x:v>
      </x:c>
      <x:c r="J51" s="10" t="n">
        <x:v>1</x:v>
      </x:c>
      <x:c r="K51" s="9" t="str">
        <x:v>См. коды и ограничения на листе «Сопоставления»</x:v>
      </x:c>
      <x:c r="L51" s="9"/>
      <x:c r="M51" s="11" t="str">
        <x:v>https://aminosil.ru/vitamini-dlya-tsvetov-forme-kontsentrata</x:v>
      </x:c>
      <x:c r="N51" s="11"/>
    </x:row>
    <x:row r="52" ht="68" customHeight="1">
      <x:c r="A52" s="6" t="str">
        <x:v>P0047</x:v>
      </x:c>
      <x:c r="B52" s="6" t="str">
        <x:v>Аминосил</x:v>
      </x:c>
      <x:c r="C52" s="6" t="str">
        <x:v>Витамины для цитрусовых в гранулах</x:v>
      </x:c>
      <x:c r="D52" s="6" t="str">
        <x:v>Средство для растений/почвы</x:v>
      </x:c>
      <x:c r="E52" s="6" t="str">
        <x:v>Розничный каталог</x:v>
      </x:c>
      <x:c r="F52" s="6" t="str">
        <x:v>G01; C16</x:v>
      </x:c>
      <x:c r="G52" s="6" t="str">
        <x:v>N/P/K, %: 4:3,5:5; аминокислоты; микроэлементы</x:v>
      </x:c>
      <x:c r="H52" s="6" t="str">
        <x:v>Есть сведения; см. ограничения</x:v>
      </x:c>
      <x:c r="I52" s="6" t="str">
        <x:v>Гранулы/колышки/палочки</x:v>
      </x:c>
      <x:c r="J52" s="12" t="n">
        <x:v>1</x:v>
      </x:c>
      <x:c r="K52" s="6" t="str">
        <x:v>См. коды и ограничения на листе «Сопоставления»</x:v>
      </x:c>
      <x:c r="L52" s="6"/>
      <x:c r="M52" s="13" t="str">
        <x:v>https://aminosil.ru/vitamini-dlya-tsitrusovih-v-granulah</x:v>
      </x:c>
      <x:c r="N52" s="13"/>
    </x:row>
    <x:row r="53" ht="68" customHeight="1">
      <x:c r="A53" s="9" t="str">
        <x:v>P0048</x:v>
      </x:c>
      <x:c r="B53" s="9" t="str">
        <x:v>Аминосил</x:v>
      </x:c>
      <x:c r="C53" s="9" t="str">
        <x:v>Витамины для цитрусовых в форме концентрата</x:v>
      </x:c>
      <x:c r="D53" s="9" t="str">
        <x:v>Средство для растений/почвы</x:v>
      </x:c>
      <x:c r="E53" s="9" t="str">
        <x:v>Розничный каталог</x:v>
      </x:c>
      <x:c r="F53" s="9" t="str">
        <x:v>G01; C16</x:v>
      </x:c>
      <x:c r="G53" s="9" t="str">
        <x:v>N/P/K, %: 2:1,5:2,5; аминокислоты; микроэлементы; гуминовые вещества</x:v>
      </x:c>
      <x:c r="H53" s="9" t="str">
        <x:v>Есть сведения; см. ограничения</x:v>
      </x:c>
      <x:c r="I53" s="9" t="str">
        <x:v>Жидкость/концентрат</x:v>
      </x:c>
      <x:c r="J53" s="10" t="n">
        <x:v>1</x:v>
      </x:c>
      <x:c r="K53" s="9" t="str">
        <x:v>См. коды и ограничения на листе «Сопоставления»</x:v>
      </x:c>
      <x:c r="L53" s="9"/>
      <x:c r="M53" s="11" t="str">
        <x:v>https://aminosil.ru/vitamini-dlya-tsitrusovih-v-forme-kontsentrata</x:v>
      </x:c>
      <x:c r="N53" s="11"/>
    </x:row>
    <x:row r="54" ht="68" customHeight="1">
      <x:c r="A54" s="6" t="str">
        <x:v>P0049</x:v>
      </x:c>
      <x:c r="B54" s="6" t="str">
        <x:v>Аминосил</x:v>
      </x:c>
      <x:c r="C54" s="6" t="str">
        <x:v>Витамины универсальные в форме геля</x:v>
      </x:c>
      <x:c r="D54" s="6" t="str">
        <x:v>Средство для растений/почвы</x:v>
      </x:c>
      <x:c r="E54" s="6" t="str">
        <x:v>Розничный каталог</x:v>
      </x:c>
      <x:c r="F54" s="6" t="str">
        <x:v>G01; C01</x:v>
      </x:c>
      <x:c r="G54" s="6" t="str">
        <x:v>N/P/K, %: 1,3:1,3:1,3; аминокислоты; микроэлементы; гуминовые вещества; янтарная кислота 3%; экстракт хлореллы</x:v>
      </x:c>
      <x:c r="H54" s="6" t="str">
        <x:v>Есть сведения; см. ограничения</x:v>
      </x:c>
      <x:c r="I54" s="6" t="str">
        <x:v>Гель</x:v>
      </x:c>
      <x:c r="J54" s="12" t="n">
        <x:v>1</x:v>
      </x:c>
      <x:c r="K54" s="6" t="str">
        <x:v>См. коды и ограничения на листе «Сопоставления»</x:v>
      </x:c>
      <x:c r="L54" s="6"/>
      <x:c r="M54" s="13" t="str">
        <x:v>https://aminosil.ru/vitamini-universalnie-v-forme-gelya</x:v>
      </x:c>
      <x:c r="N54" s="13"/>
    </x:row>
    <x:row r="55" ht="68" customHeight="1">
      <x:c r="A55" s="9" t="str">
        <x:v>P0050</x:v>
      </x:c>
      <x:c r="B55" s="9" t="str">
        <x:v>Аминосил</x:v>
      </x:c>
      <x:c r="C55" s="9" t="str">
        <x:v>Витамины универсальные в форме гранул</x:v>
      </x:c>
      <x:c r="D55" s="9" t="str">
        <x:v>Средство для растений/почвы</x:v>
      </x:c>
      <x:c r="E55" s="9" t="str">
        <x:v>Розничный каталог</x:v>
      </x:c>
      <x:c r="F55" s="9" t="str">
        <x:v>G01; C01</x:v>
      </x:c>
      <x:c r="G55" s="9" t="str">
        <x:v>N/P/K, %: 5:5:5; аминокислоты; микроэлементы</x:v>
      </x:c>
      <x:c r="H55" s="9" t="str">
        <x:v>Есть сведения; см. ограничения</x:v>
      </x:c>
      <x:c r="I55" s="9" t="str">
        <x:v>Гранулы/колышки/палочки</x:v>
      </x:c>
      <x:c r="J55" s="10" t="n">
        <x:v>1</x:v>
      </x:c>
      <x:c r="K55" s="9" t="str">
        <x:v>См. коды и ограничения на листе «Сопоставления»</x:v>
      </x:c>
      <x:c r="L55" s="9"/>
      <x:c r="M55" s="11" t="str">
        <x:v>https://aminosil.ru/vitamini-universalnie-v-granulah</x:v>
      </x:c>
      <x:c r="N55" s="11"/>
    </x:row>
    <x:row r="56" ht="68" customHeight="1">
      <x:c r="A56" s="6" t="str">
        <x:v>P0051</x:v>
      </x:c>
      <x:c r="B56" s="6" t="str">
        <x:v>Аминосил</x:v>
      </x:c>
      <x:c r="C56" s="6" t="str">
        <x:v>Витамины универсальные в форме гранул. Осень.</x:v>
      </x:c>
      <x:c r="D56" s="6" t="str">
        <x:v>Средство для растений/почвы</x:v>
      </x:c>
      <x:c r="E56" s="6" t="str">
        <x:v>Розничный каталог</x:v>
      </x:c>
      <x:c r="F56" s="6" t="str">
        <x:v>G01; C01; C21</x:v>
      </x:c>
      <x:c r="G56" s="6" t="str">
        <x:v>N/P/K, %: 1,5:6:8; аминокислоты; микроэлементы</x:v>
      </x:c>
      <x:c r="H56" s="6" t="str">
        <x:v>Есть сведения; см. ограничения</x:v>
      </x:c>
      <x:c r="I56" s="6" t="str">
        <x:v>Гранулы/колышки/палочки</x:v>
      </x:c>
      <x:c r="J56" s="12" t="n">
        <x:v>1</x:v>
      </x:c>
      <x:c r="K56" s="6" t="str">
        <x:v>См. коды и ограничения на листе «Сопоставления»</x:v>
      </x:c>
      <x:c r="L56" s="6"/>
      <x:c r="M56" s="13" t="str">
        <x:v>https://aminosil.ru/vitamini-universalniye-osennie-v-forme-granul</x:v>
      </x:c>
      <x:c r="N56" s="13"/>
    </x:row>
    <x:row r="57" ht="68" customHeight="1">
      <x:c r="A57" s="9" t="str">
        <x:v>P0052</x:v>
      </x:c>
      <x:c r="B57" s="9" t="str">
        <x:v>Аминосил</x:v>
      </x:c>
      <x:c r="C57" s="9" t="str">
        <x:v>Витамины универсальные в форме концентрата</x:v>
      </x:c>
      <x:c r="D57" s="9" t="str">
        <x:v>Средство для растений/почвы</x:v>
      </x:c>
      <x:c r="E57" s="9" t="str">
        <x:v>Розничный каталог</x:v>
      </x:c>
      <x:c r="F57" s="9" t="str">
        <x:v>G01; C01</x:v>
      </x:c>
      <x:c r="G57" s="9" t="str">
        <x:v>N/P/K, %: 1,8:1,8:1,8; аминокислоты; микроэлементы</x:v>
      </x:c>
      <x:c r="H57" s="9" t="str">
        <x:v>Есть сведения; см. ограничения</x:v>
      </x:c>
      <x:c r="I57" s="9" t="str">
        <x:v>Жидкость/концентрат</x:v>
      </x:c>
      <x:c r="J57" s="10" t="n">
        <x:v>1</x:v>
      </x:c>
      <x:c r="K57" s="9" t="str">
        <x:v>См. коды и ограничения на листе «Сопоставления»</x:v>
      </x:c>
      <x:c r="L57" s="9"/>
      <x:c r="M57" s="11" t="str">
        <x:v>https://aminosil.ru/vitamini-universalnie-v-forme-kontsentra</x:v>
      </x:c>
      <x:c r="N57" s="11"/>
    </x:row>
    <x:row r="58" ht="68" customHeight="1">
      <x:c r="A58" s="6" t="str">
        <x:v>P0053</x:v>
      </x:c>
      <x:c r="B58" s="6" t="str">
        <x:v>Аминосил</x:v>
      </x:c>
      <x:c r="C58" s="6" t="str">
        <x:v>Витамины универсальные в форме концентрата. Осень.</x:v>
      </x:c>
      <x:c r="D58" s="6" t="str">
        <x:v>Средство для растений/почвы</x:v>
      </x:c>
      <x:c r="E58" s="6" t="str">
        <x:v>Розничный каталог</x:v>
      </x:c>
      <x:c r="F58" s="6" t="str">
        <x:v>G01; C01; C21</x:v>
      </x:c>
      <x:c r="G58" s="6" t="str">
        <x:v>N/P/K, %: 0,5:2:2,5; аминокислоты; микроэлементы</x:v>
      </x:c>
      <x:c r="H58" s="6" t="str">
        <x:v>Есть сведения; см. ограничения</x:v>
      </x:c>
      <x:c r="I58" s="6" t="str">
        <x:v>Жидкость/концентрат</x:v>
      </x:c>
      <x:c r="J58" s="12" t="n">
        <x:v>1</x:v>
      </x:c>
      <x:c r="K58" s="6" t="str">
        <x:v>См. коды и ограничения на листе «Сопоставления»</x:v>
      </x:c>
      <x:c r="L58" s="6"/>
      <x:c r="M58" s="13" t="str">
        <x:v>https://aminosil.ru/vitamini-universalniye-osennie-v-forme-kontsentra</x:v>
      </x:c>
      <x:c r="N58" s="13"/>
    </x:row>
    <x:row r="59" ht="68" customHeight="1">
      <x:c r="A59" s="9" t="str">
        <x:v>P0054</x:v>
      </x:c>
      <x:c r="B59" s="9" t="str">
        <x:v>Аминосил</x:v>
      </x:c>
      <x:c r="C59" s="9" t="str">
        <x:v>Спрей Аминосил для гортензий и азалий</x:v>
      </x:c>
      <x:c r="D59" s="9" t="str">
        <x:v>Средство для растений/почвы</x:v>
      </x:c>
      <x:c r="E59" s="9" t="str">
        <x:v>Розничный каталог</x:v>
      </x:c>
      <x:c r="F59" s="9" t="str">
        <x:v>G01; C07</x:v>
      </x:c>
      <x:c r="G59" s="9" t="str">
        <x:v>N/P/K, %: 0,01:0,015:0,022; аминокислоты; микроэлементы</x:v>
      </x:c>
      <x:c r="H59" s="9" t="str">
        <x:v>Есть сведения; см. ограничения</x:v>
      </x:c>
      <x:c r="I59" s="9" t="str">
        <x:v>Готовый спрей</x:v>
      </x:c>
      <x:c r="J59" s="10" t="n">
        <x:v>1</x:v>
      </x:c>
      <x:c r="K59" s="9" t="str">
        <x:v>См. коды и ограничения на листе «Сопоставления»</x:v>
      </x:c>
      <x:c r="L59" s="9"/>
      <x:c r="M59" s="11" t="str">
        <x:v>https://aminosil.ru/sprei-aminosil-dlya-gortenzii</x:v>
      </x:c>
      <x:c r="N59" s="11"/>
    </x:row>
    <x:row r="60" ht="68" customHeight="1">
      <x:c r="A60" s="6" t="str">
        <x:v>P0055</x:v>
      </x:c>
      <x:c r="B60" s="6" t="str">
        <x:v>Аминосил</x:v>
      </x:c>
      <x:c r="C60" s="6" t="str">
        <x:v>Спрей Аминосил для лиственных растений</x:v>
      </x:c>
      <x:c r="D60" s="6" t="str">
        <x:v>Средство для растений/почвы</x:v>
      </x:c>
      <x:c r="E60" s="6" t="str">
        <x:v>Розничный каталог</x:v>
      </x:c>
      <x:c r="F60" s="6" t="str">
        <x:v>G01; C11</x:v>
      </x:c>
      <x:c r="G60" s="6" t="str">
        <x:v>N/P/K, %: 0,025:0,01:0,015; аминокислоты; микроэлементы; гуминовые вещества; янтарная кислота &lt;5%; серебро</x:v>
      </x:c>
      <x:c r="H60" s="6" t="str">
        <x:v>Есть сведения; см. ограничения</x:v>
      </x:c>
      <x:c r="I60" s="6" t="str">
        <x:v>Готовый спрей</x:v>
      </x:c>
      <x:c r="J60" s="12" t="n">
        <x:v>1</x:v>
      </x:c>
      <x:c r="K60" s="6" t="str">
        <x:v>См. коды и ограничения на листе «Сопоставления»</x:v>
      </x:c>
      <x:c r="L60" s="6"/>
      <x:c r="M60" s="13" t="str">
        <x:v>https://aminosil.ru/sprei-aminosil-dlya-listvennih-rastenii</x:v>
      </x:c>
      <x:c r="N60" s="13"/>
    </x:row>
    <x:row r="61" ht="68" customHeight="1">
      <x:c r="A61" s="9" t="str">
        <x:v>P0056</x:v>
      </x:c>
      <x:c r="B61" s="9" t="str">
        <x:v>Аминосил</x:v>
      </x:c>
      <x:c r="C61" s="9" t="str">
        <x:v>Спрей Аминосил для Орхидей</x:v>
      </x:c>
      <x:c r="D61" s="9" t="str">
        <x:v>Средство для растений/почвы</x:v>
      </x:c>
      <x:c r="E61" s="9" t="str">
        <x:v>Розничный каталог</x:v>
      </x:c>
      <x:c r="F61" s="9" t="str">
        <x:v>G01; C12</x:v>
      </x:c>
      <x:c r="G61" s="9" t="str">
        <x:v>N/P/K, %: 0,023:0,012:0,01; аминокислоты; микроэлементы; гуминовые вещества; янтарная кислота &lt;5%; серебро</x:v>
      </x:c>
      <x:c r="H61" s="9" t="str">
        <x:v>Есть сведения; см. ограничения</x:v>
      </x:c>
      <x:c r="I61" s="9" t="str">
        <x:v>Готовый спрей</x:v>
      </x:c>
      <x:c r="J61" s="10" t="n">
        <x:v>1</x:v>
      </x:c>
      <x:c r="K61" s="9" t="str">
        <x:v>См. коды и ограничения на листе «Сопоставления»</x:v>
      </x:c>
      <x:c r="L61" s="9"/>
      <x:c r="M61" s="11" t="str">
        <x:v>https://aminosil.ru/sprei-aminosil-dlya-orhidei</x:v>
      </x:c>
      <x:c r="N61" s="11"/>
    </x:row>
    <x:row r="62" ht="68" customHeight="1">
      <x:c r="A62" s="6" t="str">
        <x:v>P0057</x:v>
      </x:c>
      <x:c r="B62" s="6" t="str">
        <x:v>Аминосил</x:v>
      </x:c>
      <x:c r="C62" s="6" t="str">
        <x:v>Спрей Аминосил для петуний</x:v>
      </x:c>
      <x:c r="D62" s="6" t="str">
        <x:v>Средство для растений/почвы</x:v>
      </x:c>
      <x:c r="E62" s="6" t="str">
        <x:v>Розничный каталог</x:v>
      </x:c>
      <x:c r="F62" s="6" t="str">
        <x:v>G01; C17</x:v>
      </x:c>
      <x:c r="G62" s="6" t="str">
        <x:v>N/P/K, %: 0,02:0,02:0,025; аминокислоты; микроэлементы</x:v>
      </x:c>
      <x:c r="H62" s="6" t="str">
        <x:v>Есть сведения; см. ограничения</x:v>
      </x:c>
      <x:c r="I62" s="6" t="str">
        <x:v>Готовый спрей</x:v>
      </x:c>
      <x:c r="J62" s="12" t="n">
        <x:v>1</x:v>
      </x:c>
      <x:c r="K62" s="6" t="str">
        <x:v>См. коды и ограничения на листе «Сопоставления»</x:v>
      </x:c>
      <x:c r="L62" s="6"/>
      <x:c r="M62" s="13" t="str">
        <x:v>https://aminosil.ru/sprei-aminosil-dlya-petunii</x:v>
      </x:c>
      <x:c r="N62" s="13"/>
    </x:row>
    <x:row r="63" ht="68" customHeight="1">
      <x:c r="A63" s="9" t="str">
        <x:v>P0058</x:v>
      </x:c>
      <x:c r="B63" s="9" t="str">
        <x:v>Аминосил</x:v>
      </x:c>
      <x:c r="C63" s="9" t="str">
        <x:v>Спрей Аминосил для рассады</x:v>
      </x:c>
      <x:c r="D63" s="9" t="str">
        <x:v>Средство для растений/почвы</x:v>
      </x:c>
      <x:c r="E63" s="9" t="str">
        <x:v>Розничный каталог</x:v>
      </x:c>
      <x:c r="F63" s="9" t="str">
        <x:v>G01; C04</x:v>
      </x:c>
      <x:c r="G63" s="9" t="str">
        <x:v>N/P/K, %: 0,005:0,02:0,01; аминокислоты; микроэлементы; гуминовые вещества; янтарная кислота &lt;5%; серебро</x:v>
      </x:c>
      <x:c r="H63" s="9" t="str">
        <x:v>Есть сведения; см. ограничения</x:v>
      </x:c>
      <x:c r="I63" s="9" t="str">
        <x:v>Готовый спрей</x:v>
      </x:c>
      <x:c r="J63" s="10" t="n">
        <x:v>1</x:v>
      </x:c>
      <x:c r="K63" s="9" t="str">
        <x:v>См. коды и ограничения на листе «Сопоставления»</x:v>
      </x:c>
      <x:c r="L63" s="9"/>
      <x:c r="M63" s="11" t="str">
        <x:v>https://aminosil.ru/sprei-aminosil-dlya-rassadi</x:v>
      </x:c>
      <x:c r="N63" s="11"/>
    </x:row>
    <x:row r="64" ht="68" customHeight="1">
      <x:c r="A64" s="6" t="str">
        <x:v>P0059</x:v>
      </x:c>
      <x:c r="B64" s="6" t="str">
        <x:v>Аминосил</x:v>
      </x:c>
      <x:c r="C64" s="6" t="str">
        <x:v>Спрей Аминосил для роз</x:v>
      </x:c>
      <x:c r="D64" s="6" t="str">
        <x:v>Средство для растений/почвы</x:v>
      </x:c>
      <x:c r="E64" s="6" t="str">
        <x:v>Розничный каталог</x:v>
      </x:c>
      <x:c r="F64" s="6" t="str">
        <x:v>G01; C06</x:v>
      </x:c>
      <x:c r="G64" s="6" t="str">
        <x:v>N/P/K, %: 0,015:0,02:0,023; аминокислоты; микроэлементы; гуминовые вещества; янтарная кислота &lt;5%; серебро</x:v>
      </x:c>
      <x:c r="H64" s="6" t="str">
        <x:v>Есть сведения; см. ограничения</x:v>
      </x:c>
      <x:c r="I64" s="6" t="str">
        <x:v>Готовый спрей</x:v>
      </x:c>
      <x:c r="J64" s="12" t="n">
        <x:v>1</x:v>
      </x:c>
      <x:c r="K64" s="6" t="str">
        <x:v>См. коды и ограничения на листе «Сопоставления»</x:v>
      </x:c>
      <x:c r="L64" s="6"/>
      <x:c r="M64" s="13" t="str">
        <x:v>https://aminosil.ru/sprei-aminosil-dlya-roz</x:v>
      </x:c>
      <x:c r="N64" s="13"/>
    </x:row>
    <x:row r="65" ht="68" customHeight="1">
      <x:c r="A65" s="9" t="str">
        <x:v>P0060</x:v>
      </x:c>
      <x:c r="B65" s="9" t="str">
        <x:v>Аминосил</x:v>
      </x:c>
      <x:c r="C65" s="9" t="str">
        <x:v>Спрей Аминосил для цветов</x:v>
      </x:c>
      <x:c r="D65" s="9" t="str">
        <x:v>Средство для растений/почвы</x:v>
      </x:c>
      <x:c r="E65" s="9" t="str">
        <x:v>Розничный каталог</x:v>
      </x:c>
      <x:c r="F65" s="9" t="str">
        <x:v>G01; C17</x:v>
      </x:c>
      <x:c r="G65" s="9" t="str">
        <x:v>N/P/K, %: 0,016:0,018:0,02; аминокислоты; микроэлементы; гуминовые вещества; янтарная кислота &lt;5%; серебро</x:v>
      </x:c>
      <x:c r="H65" s="9" t="str">
        <x:v>Есть сведения; см. ограничения</x:v>
      </x:c>
      <x:c r="I65" s="9" t="str">
        <x:v>Готовый спрей</x:v>
      </x:c>
      <x:c r="J65" s="10" t="n">
        <x:v>1</x:v>
      </x:c>
      <x:c r="K65" s="9" t="str">
        <x:v>См. коды и ограничения на листе «Сопоставления»</x:v>
      </x:c>
      <x:c r="L65" s="9"/>
      <x:c r="M65" s="11" t="str">
        <x:v>https://aminosil.ru/sprei-aminosil-dlya-tsvetov</x:v>
      </x:c>
      <x:c r="N65" s="11"/>
    </x:row>
    <x:row r="66" ht="68" customHeight="1">
      <x:c r="A66" s="6" t="str">
        <x:v>P0061</x:v>
      </x:c>
      <x:c r="B66" s="6" t="str">
        <x:v>Аминосил</x:v>
      </x:c>
      <x:c r="C66" s="6" t="str">
        <x:v>Спрей Аминосил для цитрусовых</x:v>
      </x:c>
      <x:c r="D66" s="6" t="str">
        <x:v>Средство для растений/почвы</x:v>
      </x:c>
      <x:c r="E66" s="6" t="str">
        <x:v>Розничный каталог</x:v>
      </x:c>
      <x:c r="F66" s="6" t="str">
        <x:v>G01; C16</x:v>
      </x:c>
      <x:c r="G66" s="6" t="str">
        <x:v>N/P/K, %: 0,02:0,015:0,025; аминокислоты; микроэлементы; гуминовые вещества; янтарная кислота &lt;5%; серебро</x:v>
      </x:c>
      <x:c r="H66" s="6" t="str">
        <x:v>Есть сведения; см. ограничения</x:v>
      </x:c>
      <x:c r="I66" s="6" t="str">
        <x:v>Готовый спрей</x:v>
      </x:c>
      <x:c r="J66" s="12" t="n">
        <x:v>1</x:v>
      </x:c>
      <x:c r="K66" s="6" t="str">
        <x:v>См. коды и ограничения на листе «Сопоставления»</x:v>
      </x:c>
      <x:c r="L66" s="6"/>
      <x:c r="M66" s="13" t="str">
        <x:v>https://aminosil.ru/sprei-aminosil-dlya-tsitrusovih</x:v>
      </x:c>
      <x:c r="N66" s="13"/>
    </x:row>
    <x:row r="67" ht="68" customHeight="1">
      <x:c r="A67" s="9" t="str">
        <x:v>P0062</x:v>
      </x:c>
      <x:c r="B67" s="9" t="str">
        <x:v>Аминосил</x:v>
      </x:c>
      <x:c r="C67" s="9" t="str">
        <x:v>Спрей Аминосил универсальный</x:v>
      </x:c>
      <x:c r="D67" s="9" t="str">
        <x:v>Средство для растений/почвы</x:v>
      </x:c>
      <x:c r="E67" s="9" t="str">
        <x:v>Розничный каталог</x:v>
      </x:c>
      <x:c r="F67" s="9" t="str">
        <x:v>G01; C01</x:v>
      </x:c>
      <x:c r="G67" s="9" t="str">
        <x:v>N/P/K, %: 0,018:0,018:0,018; аминокислоты; микроэлементы; гуминовые вещества; янтарная кислота &lt;5%; серебро</x:v>
      </x:c>
      <x:c r="H67" s="9" t="str">
        <x:v>Есть сведения; см. ограничения</x:v>
      </x:c>
      <x:c r="I67" s="9" t="str">
        <x:v>Готовый спрей</x:v>
      </x:c>
      <x:c r="J67" s="10" t="n">
        <x:v>1</x:v>
      </x:c>
      <x:c r="K67" s="9" t="str">
        <x:v>См. коды и ограничения на листе «Сопоставления»</x:v>
      </x:c>
      <x:c r="L67" s="9"/>
      <x:c r="M67" s="11" t="str">
        <x:v>https://aminosil.ru/sprei-aminosil-universalnii</x:v>
      </x:c>
      <x:c r="N67" s="11"/>
    </x:row>
    <x:row r="68" ht="68" customHeight="1">
      <x:c r="A68" s="6" t="str">
        <x:v>P0063</x:v>
      </x:c>
      <x:c r="B68" s="6" t="str">
        <x:v>Био-комплекс</x:v>
      </x:c>
      <x:c r="C68" s="6" t="str">
        <x:v>Акардо, ККР от вредит. (паут. клещ, щитовка, цикадка, медяница) яблоня, виноград</x:v>
      </x:c>
      <x:c r="D68" s="6" t="str">
        <x:v>Средство для растений/почвы</x:v>
      </x:c>
      <x:c r="E68" s="6" t="str">
        <x:v>В продаже у Био-комплекса; производитель не приписан</x:v>
      </x:c>
      <x:c r="F68" s="6" t="str">
        <x:v>—</x:v>
      </x:c>
      <x:c r="G68" s="6" t="str">
        <x:v>Количественный состав в прочитанном тексте не найден; см. карточку</x:v>
      </x:c>
      <x:c r="H68" s="6" t="str">
        <x:v>Полного состава нет в тексте</x:v>
      </x:c>
      <x:c r="I68" s="6" t="str">
        <x:v>См. карточку</x:v>
      </x:c>
      <x:c r="J68" s="12" t="n">
        <x:v>1</x:v>
      </x:c>
      <x:c r="K68" s="6" t="str">
        <x:v>Близкий аналог не подтвержден</x:v>
      </x:c>
      <x:c r="L68" s="6"/>
      <x:c r="M68" s="13" t="str">
        <x:v>https://bio-kompleks.ru/catalog/vsya_produktsiya/akardo_kkr_ot_vredit_paut_kleshch_shchitovka_tsikadka_medyanitsa_yablonya_vinograd/</x:v>
      </x:c>
      <x:c r="N68" s="13"/>
    </x:row>
    <x:row r="69" ht="68" customHeight="1">
      <x:c r="A69" s="9" t="str">
        <x:v>P0064</x:v>
      </x:c>
      <x:c r="B69" s="9" t="str">
        <x:v>Био-комплекс</x:v>
      </x:c>
      <x:c r="C69" s="9" t="str">
        <x:v>Апекс, МКЭ от вредит. (белокрылка, плодожорка, щитовка) огурцы, томаты, яблоня</x:v>
      </x:c>
      <x:c r="D69" s="9" t="str">
        <x:v>Средство для растений/почвы</x:v>
      </x:c>
      <x:c r="E69" s="9" t="str">
        <x:v>В продаже у Био-комплекса; производитель не приписан</x:v>
      </x:c>
      <x:c r="F69" s="9" t="str">
        <x:v>—</x:v>
      </x:c>
      <x:c r="G69" s="9" t="str">
        <x:v>Количественный состав в прочитанном тексте не найден; см. карточку</x:v>
      </x:c>
      <x:c r="H69" s="9" t="str">
        <x:v>Полного состава нет в тексте</x:v>
      </x:c>
      <x:c r="I69" s="9" t="str">
        <x:v>См. карточку</x:v>
      </x:c>
      <x:c r="J69" s="10" t="n">
        <x:v>1</x:v>
      </x:c>
      <x:c r="K69" s="9" t="str">
        <x:v>Близкий аналог не подтвержден</x:v>
      </x:c>
      <x:c r="L69" s="9"/>
      <x:c r="M69" s="11" t="str">
        <x:v>https://bio-kompleks.ru/catalog/vsya_produktsiya/apeks_mke_ot_vredit_belokrylka_plodozhorka_shchitovka_ogurtsy_tomaty_yablonya/</x:v>
      </x:c>
      <x:c r="N69" s="11"/>
    </x:row>
    <x:row r="70" ht="68" customHeight="1">
      <x:c r="A70" s="6" t="str">
        <x:v>P0065</x:v>
      </x:c>
      <x:c r="B70" s="6" t="str">
        <x:v>Био-комплекс</x:v>
      </x:c>
      <x:c r="C70" s="6" t="str">
        <x:v>Беретта, МД от вредит. картофеля (колор. жук и личинки), системно-конт</x:v>
      </x:c>
      <x:c r="D70" s="6" t="str">
        <x:v>Средство для растений/почвы</x:v>
      </x:c>
      <x:c r="E70" s="6" t="str">
        <x:v>В продаже у Био-комплекса; производитель не приписан</x:v>
      </x:c>
      <x:c r="F70" s="6" t="str">
        <x:v>—</x:v>
      </x:c>
      <x:c r="G70" s="6" t="str">
        <x:v>Количественный состав в прочитанном тексте не найден; см. карточку</x:v>
      </x:c>
      <x:c r="H70" s="6" t="str">
        <x:v>Полного состава нет в тексте</x:v>
      </x:c>
      <x:c r="I70" s="6" t="str">
        <x:v>См. карточку</x:v>
      </x:c>
      <x:c r="J70" s="12" t="n">
        <x:v>1</x:v>
      </x:c>
      <x:c r="K70" s="6" t="str">
        <x:v>Близкий аналог не подтвержден</x:v>
      </x:c>
      <x:c r="L70" s="6"/>
      <x:c r="M70" s="13" t="str">
        <x:v>https://bio-kompleks.ru/catalog/vsya_produktsiya/beretta_md_ot_vredit_kartofelya_kolor_zhuk_i_lichinki_sistemno_kont/</x:v>
      </x:c>
      <x:c r="N70" s="13"/>
    </x:row>
    <x:row r="71" ht="68" customHeight="1">
      <x:c r="A71" s="9" t="str">
        <x:v>P0066</x:v>
      </x:c>
      <x:c r="B71" s="9" t="str">
        <x:v>Био-комплекс</x:v>
      </x:c>
      <x:c r="C71" s="9" t="str">
        <x:v>БИО-комплекс БиоГумус</x:v>
      </x:c>
      <x:c r="D71" s="9" t="str">
        <x:v>Средство для растений/почвы</x:v>
      </x:c>
      <x:c r="E71" s="9" t="str">
        <x:v>Розничный каталог</x:v>
      </x:c>
      <x:c r="F71" s="9" t="str">
        <x:v>G09; G39</x:v>
      </x:c>
      <x:c r="G71" s="9" t="str">
        <x:v>вода, водорастворимые соли гуминовых и фульвовых веществ, 15 важнейших элементов (N, P, K, Mg, S, Mn, B, Zn, Cu, Fe, Mo, Co, Na, W, Ni).</x:v>
      </x:c>
      <x:c r="H71" s="9" t="str">
        <x:v>Есть сведения; см. ограничения</x:v>
      </x:c>
      <x:c r="I71" s="9" t="str">
        <x:v>См. карточку</x:v>
      </x:c>
      <x:c r="J71" s="10" t="n">
        <x:v>1</x:v>
      </x:c>
      <x:c r="K71" s="9" t="str">
        <x:v>См. коды и ограничения на листе «Сопоставления»</x:v>
      </x:c>
      <x:c r="L71" s="9"/>
      <x:c r="M71" s="11" t="str">
        <x:v>https://bio-kompleks.ru/catalog/vsya_produktsiya/bio_kompleks_biogumus/</x:v>
      </x:c>
      <x:c r="N71" s="11"/>
    </x:row>
    <x:row r="72" ht="68" customHeight="1">
      <x:c r="A72" s="6" t="str">
        <x:v>P0067</x:v>
      </x:c>
      <x:c r="B72" s="6" t="str">
        <x:v>Био-комплекс</x:v>
      </x:c>
      <x:c r="C72" s="6" t="str">
        <x:v>БИО-комплекс Бокаши</x:v>
      </x:c>
      <x:c r="D72" s="6" t="str">
        <x:v>Средство для растений/почвы</x:v>
      </x:c>
      <x:c r="E72" s="6" t="str">
        <x:v>Розничный каталог</x:v>
      </x:c>
      <x:c r="F72" s="6" t="str">
        <x:v>G11; G13</x:v>
      </x:c>
      <x:c r="G72" s="6" t="str">
        <x:v>пшеничные отруби, рыбная мука, макуха (жмых подсолнечный), комплекс эффективных микроорганизмов.</x:v>
      </x:c>
      <x:c r="H72" s="6" t="str">
        <x:v>Есть сведения; см. ограничения</x:v>
      </x:c>
      <x:c r="I72" s="6" t="str">
        <x:v>См. карточку</x:v>
      </x:c>
      <x:c r="J72" s="12" t="n">
        <x:v>1</x:v>
      </x:c>
      <x:c r="K72" s="6" t="str">
        <x:v>См. коды и ограничения на листе «Сопоставления»</x:v>
      </x:c>
      <x:c r="L72" s="6"/>
      <x:c r="M72" s="13" t="str">
        <x:v>https://bio-kompleks.ru/catalog/vsya_produktsiya/bio_kompleks_bokashi_/</x:v>
      </x:c>
      <x:c r="N72" s="13"/>
    </x:row>
    <x:row r="73" ht="68" customHeight="1">
      <x:c r="A73" s="9" t="str">
        <x:v>P0068</x:v>
      </x:c>
      <x:c r="B73" s="9" t="str">
        <x:v>Био-комплекс</x:v>
      </x:c>
      <x:c r="C73" s="9" t="str">
        <x:v>БИО-комплекс Гумат Калия</x:v>
      </x:c>
      <x:c r="D73" s="9" t="str">
        <x:v>Средство для растений/почвы</x:v>
      </x:c>
      <x:c r="E73" s="9" t="str">
        <x:v>Розничный каталог</x:v>
      </x:c>
      <x:c r="F73" s="9" t="str">
        <x:v>G02; G39</x:v>
      </x:c>
      <x:c r="G73" s="9" t="str">
        <x:v>вода, водорастворимые калийные соли гуминовых и фульвовых веществ.</x:v>
      </x:c>
      <x:c r="H73" s="9" t="str">
        <x:v>Есть сведения; см. ограничения</x:v>
      </x:c>
      <x:c r="I73" s="9" t="str">
        <x:v>См. карточку</x:v>
      </x:c>
      <x:c r="J73" s="10" t="n">
        <x:v>1</x:v>
      </x:c>
      <x:c r="K73" s="9" t="str">
        <x:v>См. коды и ограничения на листе «Сопоставления»</x:v>
      </x:c>
      <x:c r="L73" s="9"/>
      <x:c r="M73" s="11" t="str">
        <x:v>https://bio-kompleks.ru/catalog/vsya_produktsiya/bio_kompleks_gumat_kaliya_/</x:v>
      </x:c>
      <x:c r="N73" s="11"/>
    </x:row>
    <x:row r="74" ht="68" customHeight="1">
      <x:c r="A74" s="6" t="str">
        <x:v>P0069</x:v>
      </x:c>
      <x:c r="B74" s="6" t="str">
        <x:v>Био-комплекс</x:v>
      </x:c>
      <x:c r="C74" s="6" t="str">
        <x:v>БИО-комплекс Диатомит Садовый</x:v>
      </x:c>
      <x:c r="D74" s="6" t="str">
        <x:v>Средство для растений/почвы</x:v>
      </x:c>
      <x:c r="E74" s="6" t="str">
        <x:v>Розничный каталог</x:v>
      </x:c>
      <x:c r="F74" s="6" t="str">
        <x:v>G36</x:v>
      </x:c>
      <x:c r="G74" s="6" t="str">
        <x:v>органический кремний (74-88%, из них 40-45% в аморфной форме), оксиды алюминия, магния, натрия, железа, кальция. Фракция: 1-3 мм</x:v>
      </x:c>
      <x:c r="H74" s="6" t="str">
        <x:v>Есть сведения; см. ограничения</x:v>
      </x:c>
      <x:c r="I74" s="6" t="str">
        <x:v>См. карточку</x:v>
      </x:c>
      <x:c r="J74" s="12" t="n">
        <x:v>1</x:v>
      </x:c>
      <x:c r="K74" s="6" t="str">
        <x:v>См. коды и ограничения на листе «Сопоставления»</x:v>
      </x:c>
      <x:c r="L74" s="6"/>
      <x:c r="M74" s="13" t="str">
        <x:v>https://bio-kompleks.ru/catalog/vsya_produktsiya/bio_kompleks_diatomit_sadovyy_/</x:v>
      </x:c>
      <x:c r="N74" s="13"/>
    </x:row>
    <x:row r="75" ht="68" customHeight="1">
      <x:c r="A75" s="9" t="str">
        <x:v>P0070</x:v>
      </x:c>
      <x:c r="B75" s="9" t="str">
        <x:v>Био-комплекс</x:v>
      </x:c>
      <x:c r="C75" s="9" t="str">
        <x:v>БИО-комплекс Донор, удобрение со свойствами фунгицида</x:v>
      </x:c>
      <x:c r="D75" s="9" t="str">
        <x:v>Средство для растений/почвы</x:v>
      </x:c>
      <x:c r="E75" s="9" t="str">
        <x:v>Розничный каталог</x:v>
      </x:c>
      <x:c r="F75" s="9" t="str">
        <x:v>G30</x:v>
      </x:c>
      <x:c r="G75" s="9" t="str">
        <x:v>Оксид кальция (CaO) не менее 12%, магний (Mg) не менее 1%, ионы хлора (Cl).</x:v>
      </x:c>
      <x:c r="H75" s="9" t="str">
        <x:v>Есть сведения; см. ограничения</x:v>
      </x:c>
      <x:c r="I75" s="9" t="str">
        <x:v>См. карточку</x:v>
      </x:c>
      <x:c r="J75" s="10" t="n">
        <x:v>1</x:v>
      </x:c>
      <x:c r="K75" s="9" t="str">
        <x:v>См. коды и ограничения на листе «Сопоставления»</x:v>
      </x:c>
      <x:c r="L75" s="9"/>
      <x:c r="M75" s="11" t="str">
        <x:v>https://bio-kompleks.ru/catalog/vsya_produktsiya/bio_kompleks_donor_udobrenie_so_svoystvami_fungitsida/</x:v>
      </x:c>
      <x:c r="N75" s="11"/>
    </x:row>
    <x:row r="76" ht="68" customHeight="1">
      <x:c r="A76" s="6" t="str">
        <x:v>P0071</x:v>
      </x:c>
      <x:c r="B76" s="6" t="str">
        <x:v>Био-комплекс</x:v>
      </x:c>
      <x:c r="C76" s="6" t="str">
        <x:v>БИО-комплекс Здоровая вершинка, ТМ МАГ</x:v>
      </x:c>
      <x:c r="D76" s="6" t="str">
        <x:v>Средство для растений/почвы</x:v>
      </x:c>
      <x:c r="E76" s="6" t="str">
        <x:v>Розничный каталог</x:v>
      </x:c>
      <x:c r="F76" s="6" t="str">
        <x:v>G18</x:v>
      </x:c>
      <x:c r="G76" s="6" t="str">
        <x:v>хелат кальция, хелат бора, аминокислоты, прилипатель. </x:v>
      </x:c>
      <x:c r="H76" s="6" t="str">
        <x:v>Есть сведения; см. ограничения</x:v>
      </x:c>
      <x:c r="I76" s="6" t="str">
        <x:v>См. карточку</x:v>
      </x:c>
      <x:c r="J76" s="12" t="n">
        <x:v>2</x:v>
      </x:c>
      <x:c r="K76" s="6" t="str">
        <x:v>См. коды и ограничения на листе «Сопоставления»</x:v>
      </x:c>
      <x:c r="L76" s="6"/>
      <x:c r="M76" s="13" t="str">
        <x:v>https://bio-kompleks.ru/catalog/vsya_produktsiya/bio_kompleks_zdorovaya_vershinka_tm_mag_10_g_15/</x:v>
      </x:c>
      <x:c r="N76" s="13"/>
    </x:row>
    <x:row r="77" ht="68" customHeight="1">
      <x:c r="A77" s="9" t="str">
        <x:v>P0072</x:v>
      </x:c>
      <x:c r="B77" s="9" t="str">
        <x:v>Био-комплекс</x:v>
      </x:c>
      <x:c r="C77" s="9" t="str">
        <x:v>БИО-комплекс Здоровая почва, ТМ Удобряша</x:v>
      </x:c>
      <x:c r="D77" s="9" t="str">
        <x:v>Средство для растений/почвы</x:v>
      </x:c>
      <x:c r="E77" s="9" t="str">
        <x:v>Розничный каталог</x:v>
      </x:c>
      <x:c r="F77" s="9" t="str">
        <x:v>G13; G14; G16</x:v>
      </x:c>
      <x:c r="G77" s="9" t="str">
        <x:v>жмых нима, рапсовый жмых, горчичный жмых, комплекс полезных микроорганизмов . </x:v>
      </x:c>
      <x:c r="H77" s="9" t="str">
        <x:v>Есть сведения; см. ограничения</x:v>
      </x:c>
      <x:c r="I77" s="9" t="str">
        <x:v>См. карточку</x:v>
      </x:c>
      <x:c r="J77" s="10" t="n">
        <x:v>1</x:v>
      </x:c>
      <x:c r="K77" s="9" t="str">
        <x:v>См. коды и ограничения на листе «Сопоставления»</x:v>
      </x:c>
      <x:c r="L77" s="9"/>
      <x:c r="M77" s="11" t="str">
        <x:v>https://bio-kompleks.ru/catalog/vsya_produktsiya/bio_kompleks_zdorovaya_pochva_tm_udobryasha/</x:v>
      </x:c>
      <x:c r="N77" s="11"/>
    </x:row>
    <x:row r="78" ht="68" customHeight="1">
      <x:c r="A78" s="6" t="str">
        <x:v>P0073</x:v>
      </x:c>
      <x:c r="B78" s="6" t="str">
        <x:v>Био-комплекс</x:v>
      </x:c>
      <x:c r="C78" s="6" t="str">
        <x:v>БИО-комплекс Зола подсолнечника</x:v>
      </x:c>
      <x:c r="D78" s="6" t="str">
        <x:v>Средство для растений/почвы</x:v>
      </x:c>
      <x:c r="E78" s="6" t="str">
        <x:v>Розничный каталог</x:v>
      </x:c>
      <x:c r="F78" s="6" t="str">
        <x:v>G28</x:v>
      </x:c>
      <x:c r="G78" s="6" t="str">
        <x:v>зола подсолнечника 100%. Состав химических элементов: калий — 33%, кальций — 25%, магний — 15%, фосфор — 5% и др.</x:v>
      </x:c>
      <x:c r="H78" s="6" t="str">
        <x:v>Есть сведения; см. ограничения</x:v>
      </x:c>
      <x:c r="I78" s="6" t="str">
        <x:v>См. карточку</x:v>
      </x:c>
      <x:c r="J78" s="12" t="n">
        <x:v>1</x:v>
      </x:c>
      <x:c r="K78" s="6" t="str">
        <x:v>См. коды и ограничения на листе «Сопоставления»</x:v>
      </x:c>
      <x:c r="L78" s="6"/>
      <x:c r="M78" s="13" t="str">
        <x:v>https://bio-kompleks.ru/catalog/vsya_produktsiya/bio_kompleks_zola_podsolnechnika/</x:v>
      </x:c>
      <x:c r="N78" s="13"/>
    </x:row>
    <x:row r="79" ht="68" customHeight="1">
      <x:c r="A79" s="9" t="str">
        <x:v>P0074</x:v>
      </x:c>
      <x:c r="B79" s="9" t="str">
        <x:v>Био-комплекс</x:v>
      </x:c>
      <x:c r="C79" s="9" t="str">
        <x:v>БИО-комплекс Костная мука</x:v>
      </x:c>
      <x:c r="D79" s="9" t="str">
        <x:v>Средство для растений/почвы</x:v>
      </x:c>
      <x:c r="E79" s="9" t="str">
        <x:v>Розничный каталог</x:v>
      </x:c>
      <x:c r="F79" s="9" t="str">
        <x:v>G05; G27</x:v>
      </x:c>
      <x:c r="G79" s="9" t="str">
        <x:v>костная мука мелкого помола из отборного сырья с высоким содержанием фосфора и кальция. Азот 3-4%, фосфор до 30%, кальций до 45%, магний, сера, железо, цинк, молибден, бор, витамины E, группы В, белки и аминокислоты.</x:v>
      </x:c>
      <x:c r="H79" s="9" t="str">
        <x:v>Есть сведения; см. ограничения</x:v>
      </x:c>
      <x:c r="I79" s="9" t="str">
        <x:v>Сухой продукт</x:v>
      </x:c>
      <x:c r="J79" s="10" t="n">
        <x:v>1</x:v>
      </x:c>
      <x:c r="K79" s="9" t="str">
        <x:v>См. коды и ограничения на листе «Сопоставления»</x:v>
      </x:c>
      <x:c r="L79" s="9"/>
      <x:c r="M79" s="11" t="str">
        <x:v>https://bio-kompleks.ru/catalog/vsya_produktsiya/bio_kompleks_kostnaya_muka/</x:v>
      </x:c>
      <x:c r="N79" s="11"/>
    </x:row>
    <x:row r="80" ht="82" customHeight="1">
      <x:c r="A80" s="6" t="str">
        <x:v>P0075</x:v>
      </x:c>
      <x:c r="B80" s="6" t="str">
        <x:v>Био-комплекс</x:v>
      </x:c>
      <x:c r="C80" s="6" t="str">
        <x:v>БИО-комплекс Кровяная мука</x:v>
      </x:c>
      <x:c r="D80" s="6" t="str">
        <x:v>Средство для растений/почвы</x:v>
      </x:c>
      <x:c r="E80" s="6" t="str">
        <x:v>Розничный каталог</x:v>
      </x:c>
      <x:c r="F80" s="6" t="str">
        <x:v>G04; G26</x:v>
      </x:c>
      <x:c r="G80" s="6" t="str">
        <x:v>кровяная мука из отборного обезжиренного сырья с высоким содержанием азота. Азот (13%), железо, калий, кальций, магний, натрий, сера, кобальт, медь, цинк, хром, марганец, фтор, йод, витамины А, D, E, группы В, белки и аминокислоты.</x:v>
      </x:c>
      <x:c r="H80" s="6" t="str">
        <x:v>Есть сведения; см. ограничения</x:v>
      </x:c>
      <x:c r="I80" s="6" t="str">
        <x:v>Сухой продукт</x:v>
      </x:c>
      <x:c r="J80" s="12" t="n">
        <x:v>1</x:v>
      </x:c>
      <x:c r="K80" s="6" t="str">
        <x:v>См. коды и ограничения на листе «Сопоставления»</x:v>
      </x:c>
      <x:c r="L80" s="6"/>
      <x:c r="M80" s="13" t="str">
        <x:v>https://bio-kompleks.ru/catalog/vsya_produktsiya/bio_kompleks_krovyanaya_muka/</x:v>
      </x:c>
      <x:c r="N80" s="13"/>
    </x:row>
    <x:row r="81" ht="68" customHeight="1">
      <x:c r="A81" s="9" t="str">
        <x:v>P0076</x:v>
      </x:c>
      <x:c r="B81" s="9" t="str">
        <x:v>Био-комплекс</x:v>
      </x:c>
      <x:c r="C81" s="9" t="str">
        <x:v>БИО-комплекс МАГ ПРЕМИУМ от вредителей, пульверизатор</x:v>
      </x:c>
      <x:c r="D81" s="9" t="str">
        <x:v>Средство для растений/почвы</x:v>
      </x:c>
      <x:c r="E81" s="9" t="str">
        <x:v>Розничный каталог</x:v>
      </x:c>
      <x:c r="F81" s="9" t="str">
        <x:v>G17</x:v>
      </x:c>
      <x:c r="G81" s="9" t="str">
        <x:v>Количественный состав в прочитанном тексте не найден; см. карточку</x:v>
      </x:c>
      <x:c r="H81" s="9" t="str">
        <x:v>Полного состава нет в тексте</x:v>
      </x:c>
      <x:c r="I81" s="9" t="str">
        <x:v>Готовый спрей</x:v>
      </x:c>
      <x:c r="J81" s="10" t="n">
        <x:v>1</x:v>
      </x:c>
      <x:c r="K81" s="9" t="str">
        <x:v>См. коды и ограничения на листе «Сопоставления»</x:v>
      </x:c>
      <x:c r="L81" s="9"/>
      <x:c r="M81" s="11" t="str">
        <x:v>https://bio-kompleks.ru/catalog/vsya_produktsiya/bio_kompleks_mag_premium_ot_vrediteley_pulverizator_1_l_14/</x:v>
      </x:c>
      <x:c r="N81" s="11"/>
    </x:row>
    <x:row r="82" ht="68" customHeight="1">
      <x:c r="A82" s="6" t="str">
        <x:v>P0077</x:v>
      </x:c>
      <x:c r="B82" s="6" t="str">
        <x:v>Био-комплекс</x:v>
      </x:c>
      <x:c r="C82" s="6" t="str">
        <x:v>БИО-комплекс МАГ Средство от белокрылки</x:v>
      </x:c>
      <x:c r="D82" s="6" t="str">
        <x:v>Средство для растений/почвы</x:v>
      </x:c>
      <x:c r="E82" s="6" t="str">
        <x:v>Розничный каталог</x:v>
      </x:c>
      <x:c r="F82" s="6" t="str">
        <x:v>G17</x:v>
      </x:c>
      <x:c r="G82" s="6" t="str">
        <x:v>смесь растительных масел и экстрактов, отдушка. Объем : 50 мл.</x:v>
      </x:c>
      <x:c r="H82" s="6" t="str">
        <x:v>Есть сведения; см. ограничения</x:v>
      </x:c>
      <x:c r="I82" s="6" t="str">
        <x:v>См. карточку</x:v>
      </x:c>
      <x:c r="J82" s="12" t="n">
        <x:v>1</x:v>
      </x:c>
      <x:c r="K82" s="6" t="str">
        <x:v>См. коды и ограничения на листе «Сопоставления»</x:v>
      </x:c>
      <x:c r="L82" s="6"/>
      <x:c r="M82" s="13" t="str">
        <x:v>https://bio-kompleks.ru/catalog/vsya_produktsiya/bio_kompleks_mag_sredstvo_ot_belokrylki/</x:v>
      </x:c>
      <x:c r="N82" s="13"/>
    </x:row>
    <x:row r="83" ht="68" customHeight="1">
      <x:c r="A83" s="9" t="str">
        <x:v>P0078</x:v>
      </x:c>
      <x:c r="B83" s="9" t="str">
        <x:v>Био-комплекс</x:v>
      </x:c>
      <x:c r="C83" s="9" t="str">
        <x:v>БИО-комплекс МАГ Средство от паутинного клеща</x:v>
      </x:c>
      <x:c r="D83" s="9" t="str">
        <x:v>Средство для растений/почвы</x:v>
      </x:c>
      <x:c r="E83" s="9" t="str">
        <x:v>Розничный каталог</x:v>
      </x:c>
      <x:c r="F83" s="9" t="str">
        <x:v>G17</x:v>
      </x:c>
      <x:c r="G83" s="9" t="str">
        <x:v>смесь растительных масел и экстрактов. Объем : 50 мл.</x:v>
      </x:c>
      <x:c r="H83" s="9" t="str">
        <x:v>Есть сведения; см. ограничения</x:v>
      </x:c>
      <x:c r="I83" s="9" t="str">
        <x:v>См. карточку</x:v>
      </x:c>
      <x:c r="J83" s="10" t="n">
        <x:v>1</x:v>
      </x:c>
      <x:c r="K83" s="9" t="str">
        <x:v>См. коды и ограничения на листе «Сопоставления»</x:v>
      </x:c>
      <x:c r="L83" s="9"/>
      <x:c r="M83" s="11" t="str">
        <x:v>https://bio-kompleks.ru/catalog/vsya_produktsiya/bio_kompleks_mag_sredstvo_ot_pautinnogo_kleshcha/</x:v>
      </x:c>
      <x:c r="N83" s="11"/>
    </x:row>
    <x:row r="84" ht="68" customHeight="1">
      <x:c r="A84" s="6" t="str">
        <x:v>P0079</x:v>
      </x:c>
      <x:c r="B84" s="6" t="str">
        <x:v>Био-комплекс</x:v>
      </x:c>
      <x:c r="C84" s="6" t="str">
        <x:v>БИО-комплекс Овощи БУМ</x:v>
      </x:c>
      <x:c r="D84" s="6" t="str">
        <x:v>Средство для растений/почвы</x:v>
      </x:c>
      <x:c r="E84" s="6" t="str">
        <x:v>Розничный каталог</x:v>
      </x:c>
      <x:c r="F84" s="6" t="str">
        <x:v>C25</x:v>
      </x:c>
      <x:c r="G84" s="6" t="str">
        <x:v>макроэлементы (азот, фосфор, калий), микроэлементы (кальций, магний, сера, железо, цинк, бор, марганец, молибден и др.), витамины, углеводы, аминокислоты.</x:v>
      </x:c>
      <x:c r="H84" s="6" t="str">
        <x:v>Есть сведения; см. ограничения</x:v>
      </x:c>
      <x:c r="I84" s="6" t="str">
        <x:v>См. карточку</x:v>
      </x:c>
      <x:c r="J84" s="12" t="n">
        <x:v>1</x:v>
      </x:c>
      <x:c r="K84" s="6" t="str">
        <x:v>См. коды и ограничения на листе «Сопоставления»</x:v>
      </x:c>
      <x:c r="L84" s="6"/>
      <x:c r="M84" s="13" t="str">
        <x:v>https://bio-kompleks.ru/catalog/vsya_produktsiya/bio_kompleks_ovoshchi_bum/</x:v>
      </x:c>
      <x:c r="N84" s="13"/>
    </x:row>
    <x:row r="85" ht="68" customHeight="1">
      <x:c r="A85" s="9" t="str">
        <x:v>P0080</x:v>
      </x:c>
      <x:c r="B85" s="9" t="str">
        <x:v>Био-комплекс</x:v>
      </x:c>
      <x:c r="C85" s="9" t="str">
        <x:v>БИО-комплекс ОМУ весна-лето универсальное, ТМ БИОША</x:v>
      </x:c>
      <x:c r="D85" s="9" t="str">
        <x:v>Средство для растений/почвы</x:v>
      </x:c>
      <x:c r="E85" s="9" t="str">
        <x:v>Розничный каталог</x:v>
      </x:c>
      <x:c r="F85" s="9" t="str">
        <x:v>C01; C22</x:v>
      </x:c>
      <x:c r="G85" s="9" t="str">
        <x:v>Азот 10%, фосфор 10%, калий 10%, магний 1,5%, сера 1%, кальций, бор, цинк, железо, медь, марганец, кобальт, а также гуминовые вещества, витамины и аминокислоты.</x:v>
      </x:c>
      <x:c r="H85" s="9" t="str">
        <x:v>Есть сведения; см. ограничения</x:v>
      </x:c>
      <x:c r="I85" s="9" t="str">
        <x:v>См. карточку</x:v>
      </x:c>
      <x:c r="J85" s="10" t="n">
        <x:v>1</x:v>
      </x:c>
      <x:c r="K85" s="9" t="str">
        <x:v>См. коды и ограничения на листе «Сопоставления»</x:v>
      </x:c>
      <x:c r="L85" s="9"/>
      <x:c r="M85" s="11" t="str">
        <x:v>https://bio-kompleks.ru/catalog/vsya_produktsiya/bio_kompleks_omu_vesna_leto_universalnoe_tm_biosha/</x:v>
      </x:c>
      <x:c r="N85" s="11"/>
    </x:row>
    <x:row r="86" ht="68" customHeight="1">
      <x:c r="A86" s="6" t="str">
        <x:v>P0081</x:v>
      </x:c>
      <x:c r="B86" s="6" t="str">
        <x:v>Био-комплекс</x:v>
      </x:c>
      <x:c r="C86" s="6" t="str">
        <x:v>БИО-комплекс ОМУ для гортензий, рододендронов, азалий, ТМ БИОША</x:v>
      </x:c>
      <x:c r="D86" s="6" t="str">
        <x:v>Средство для растений/почвы</x:v>
      </x:c>
      <x:c r="E86" s="6" t="str">
        <x:v>Розничный каталог</x:v>
      </x:c>
      <x:c r="F86" s="6" t="str">
        <x:v>C07</x:v>
      </x:c>
      <x:c r="G86" s="6" t="str">
        <x:v>Азот 5%, фосфор 9%, калий 9%, сера 1%, магний, кальций, бор, цинк, железо, медь, марганец, кобальт, а также лимонная кислота, гуминовые вещества, витамины и аминокислоты.</x:v>
      </x:c>
      <x:c r="H86" s="6" t="str">
        <x:v>Есть сведения; см. ограничения</x:v>
      </x:c>
      <x:c r="I86" s="6" t="str">
        <x:v>См. карточку</x:v>
      </x:c>
      <x:c r="J86" s="12" t="n">
        <x:v>1</x:v>
      </x:c>
      <x:c r="K86" s="6" t="str">
        <x:v>См. коды и ограничения на листе «Сопоставления»</x:v>
      </x:c>
      <x:c r="L86" s="6"/>
      <x:c r="M86" s="13" t="str">
        <x:v>https://bio-kompleks.ru/catalog/vsya_produktsiya/bio_kompleks_omu_dlya_gortenziy_rododendronov_azaliy_tm_biosha/</x:v>
      </x:c>
      <x:c r="N86" s="13"/>
    </x:row>
    <x:row r="87" ht="68" customHeight="1">
      <x:c r="A87" s="9" t="str">
        <x:v>P0082</x:v>
      </x:c>
      <x:c r="B87" s="9" t="str">
        <x:v>Био-комплекс</x:v>
      </x:c>
      <x:c r="C87" s="9" t="str">
        <x:v>БИО-комплекс ОМУ для клематисов, ТМ БИОША</x:v>
      </x:c>
      <x:c r="D87" s="9" t="str">
        <x:v>Средство для растений/почвы</x:v>
      </x:c>
      <x:c r="E87" s="9" t="str">
        <x:v>Розничный каталог</x:v>
      </x:c>
      <x:c r="F87" s="9" t="str">
        <x:v>C17</x:v>
      </x:c>
      <x:c r="G87" s="9" t="str">
        <x:v>Азот 5%, фосфор 6%, калий 9%, кальций 5%, магний 2%, сера, кремний, натрий, бор, цинк, железо, медь, марганец, молибден, кобальт, гуминовые и фульвовые вещества.</x:v>
      </x:c>
      <x:c r="H87" s="9" t="str">
        <x:v>Есть сведения; см. ограничения</x:v>
      </x:c>
      <x:c r="I87" s="9" t="str">
        <x:v>См. карточку</x:v>
      </x:c>
      <x:c r="J87" s="10" t="n">
        <x:v>1</x:v>
      </x:c>
      <x:c r="K87" s="9" t="str">
        <x:v>См. коды и ограничения на листе «Сопоставления»</x:v>
      </x:c>
      <x:c r="L87" s="9"/>
      <x:c r="M87" s="11" t="str">
        <x:v>https://bio-kompleks.ru/catalog/vsya_produktsiya/bio_kompleks_omu_dlya_klematisov_tm_biosha/</x:v>
      </x:c>
      <x:c r="N87" s="11"/>
    </x:row>
    <x:row r="88" ht="68" customHeight="1">
      <x:c r="A88" s="6" t="str">
        <x:v>P0083</x:v>
      </x:c>
      <x:c r="B88" s="6" t="str">
        <x:v>Био-комплекс</x:v>
      </x:c>
      <x:c r="C88" s="6" t="str">
        <x:v>БИО-комплекс ОМУ для клубники и земляники, ТМ БИОША</x:v>
      </x:c>
      <x:c r="D88" s="6" t="str">
        <x:v>Средство для растений/почвы</x:v>
      </x:c>
      <x:c r="E88" s="6" t="str">
        <x:v>Розничный каталог</x:v>
      </x:c>
      <x:c r="F88" s="6" t="str">
        <x:v>C05</x:v>
      </x:c>
      <x:c r="G88" s="6" t="str">
        <x:v>Азот 6%, фосфор 8%, калий 10%, магний 1%, сера, кальций, бор, цинк, железо, медь, марганец, кобальт, натрий, кремний, молибден, а также гуминовые вещества, витамины и аминокислоты.</x:v>
      </x:c>
      <x:c r="H88" s="6" t="str">
        <x:v>Есть сведения; см. ограничения</x:v>
      </x:c>
      <x:c r="I88" s="6" t="str">
        <x:v>См. карточку</x:v>
      </x:c>
      <x:c r="J88" s="12" t="n">
        <x:v>1</x:v>
      </x:c>
      <x:c r="K88" s="6" t="str">
        <x:v>См. коды и ограничения на листе «Сопоставления»</x:v>
      </x:c>
      <x:c r="L88" s="6"/>
      <x:c r="M88" s="13" t="str">
        <x:v>https://bio-kompleks.ru/catalog/vsya_produktsiya/bio_kompleks_omu_dlya_klubniki_i_zemlyaniki_tm_biosha/</x:v>
      </x:c>
      <x:c r="N88" s="13"/>
    </x:row>
    <x:row r="89" ht="68" customHeight="1">
      <x:c r="A89" s="9" t="str">
        <x:v>P0084</x:v>
      </x:c>
      <x:c r="B89" s="9" t="str">
        <x:v>Био-комплекс</x:v>
      </x:c>
      <x:c r="C89" s="9" t="str">
        <x:v>БИО-комплекс ОМУ для магнолий, ТМ БИОША</x:v>
      </x:c>
      <x:c r="D89" s="9" t="str">
        <x:v>Средство для растений/почвы</x:v>
      </x:c>
      <x:c r="E89" s="9" t="str">
        <x:v>Розничный каталог</x:v>
      </x:c>
      <x:c r="F89" s="9" t="str">
        <x:v>—</x:v>
      </x:c>
      <x:c r="G89" s="9" t="str">
        <x:v>Азот 6%, фосфор 8%, калий 9%, сера 2,5%, магний 1%, кремний, натрий, бор, цинк, медь, марганец, молибден, кобальт, гуминовые и фульвовые вещества.</x:v>
      </x:c>
      <x:c r="H89" s="9" t="str">
        <x:v>Есть сведения; см. ограничения</x:v>
      </x:c>
      <x:c r="I89" s="9" t="str">
        <x:v>См. карточку</x:v>
      </x:c>
      <x:c r="J89" s="10" t="n">
        <x:v>1</x:v>
      </x:c>
      <x:c r="K89" s="9" t="str">
        <x:v>Близкий аналог не подтвержден</x:v>
      </x:c>
      <x:c r="L89" s="9"/>
      <x:c r="M89" s="11" t="str">
        <x:v>https://bio-kompleks.ru/catalog/vsya_produktsiya/bio_kompleks_omu_dlya_magnoliy_tm_biosha/</x:v>
      </x:c>
      <x:c r="N89" s="11"/>
    </x:row>
    <x:row r="90" ht="68" customHeight="1">
      <x:c r="A90" s="6" t="str">
        <x:v>P0085</x:v>
      </x:c>
      <x:c r="B90" s="6" t="str">
        <x:v>Био-комплекс</x:v>
      </x:c>
      <x:c r="C90" s="6" t="str">
        <x:v>БИО-комплекс ОМУ для огурцов, кабачков, арбузов и дынь, ТМ БИОША</x:v>
      </x:c>
      <x:c r="D90" s="6" t="str">
        <x:v>Средство для растений/почвы</x:v>
      </x:c>
      <x:c r="E90" s="6" t="str">
        <x:v>Розничный каталог</x:v>
      </x:c>
      <x:c r="F90" s="6" t="str">
        <x:v>C03</x:v>
      </x:c>
      <x:c r="G90" s="6" t="str">
        <x:v>Азот 9%, фосфор 5%, калий 9%, магний 2%, сера 1,5%, кальций, бор, цинк, железо, медь, марганец, кобальт, а также гуминовые вещества, витамины и аминокислоты.</x:v>
      </x:c>
      <x:c r="H90" s="6" t="str">
        <x:v>Есть сведения; см. ограничения</x:v>
      </x:c>
      <x:c r="I90" s="6" t="str">
        <x:v>См. карточку</x:v>
      </x:c>
      <x:c r="J90" s="12" t="n">
        <x:v>1</x:v>
      </x:c>
      <x:c r="K90" s="6" t="str">
        <x:v>См. коды и ограничения на листе «Сопоставления»</x:v>
      </x:c>
      <x:c r="L90" s="6"/>
      <x:c r="M90" s="13" t="str">
        <x:v>https://bio-kompleks.ru/catalog/vsya_produktsiya/bio_kompleks_omu_dlya_ogurtsov_kabachkov_arbuzov_i_dyn_tm_biosha/</x:v>
      </x:c>
      <x:c r="N90" s="13"/>
    </x:row>
    <x:row r="91" ht="68" customHeight="1">
      <x:c r="A91" s="9" t="str">
        <x:v>P0086</x:v>
      </x:c>
      <x:c r="B91" s="9" t="str">
        <x:v>Био-комплекс</x:v>
      </x:c>
      <x:c r="C91" s="9" t="str">
        <x:v>БИО-комплекс ОМУ для плодово-ягодных деревьев и кустарников, ТМ БИОША</x:v>
      </x:c>
      <x:c r="D91" s="9" t="str">
        <x:v>Средство для растений/почвы</x:v>
      </x:c>
      <x:c r="E91" s="9" t="str">
        <x:v>Розничный каталог</x:v>
      </x:c>
      <x:c r="F91" s="9" t="str">
        <x:v>C05; C20</x:v>
      </x:c>
      <x:c r="G91" s="9" t="str">
        <x:v>Азот 5%, фосфор 9%, калий 9%, кальций 7%, кремний 3%, магний 1,5%, сера 0,5%, натрий, бор, цинк, железо, медь, марганец, молибден, кобальт.</x:v>
      </x:c>
      <x:c r="H91" s="9" t="str">
        <x:v>Есть сведения; см. ограничения</x:v>
      </x:c>
      <x:c r="I91" s="9" t="str">
        <x:v>См. карточку</x:v>
      </x:c>
      <x:c r="J91" s="10" t="n">
        <x:v>1</x:v>
      </x:c>
      <x:c r="K91" s="9" t="str">
        <x:v>См. коды и ограничения на листе «Сопоставления»</x:v>
      </x:c>
      <x:c r="L91" s="9"/>
      <x:c r="M91" s="11" t="str">
        <x:v>https://bio-kompleks.ru/catalog/vsya_produktsiya/bio_kompleks_omu_dlya_plodovo_yagodnykh_derevev_i_kustarnikov_tm_biosha/</x:v>
      </x:c>
      <x:c r="N91" s="11"/>
    </x:row>
    <x:row r="92" ht="68" customHeight="1">
      <x:c r="A92" s="6" t="str">
        <x:v>P0087</x:v>
      </x:c>
      <x:c r="B92" s="6" t="str">
        <x:v>Био-комплекс</x:v>
      </x:c>
      <x:c r="C92" s="6" t="str">
        <x:v>БИО-комплекс ОМУ для роз, пионов, ТМ БИОША</x:v>
      </x:c>
      <x:c r="D92" s="6" t="str">
        <x:v>Средство для растений/почвы</x:v>
      </x:c>
      <x:c r="E92" s="6" t="str">
        <x:v>Розничный каталог</x:v>
      </x:c>
      <x:c r="F92" s="6" t="str">
        <x:v>C06</x:v>
      </x:c>
      <x:c r="G92" s="6" t="str">
        <x:v>Азот 4%, фосфор 8%, калий 8%, кальций 8%, кремний 4%, магний 2%, сера 0,5%, натрий, бор, цинк, железо, , медь, марганец, молибден, кобальт.</x:v>
      </x:c>
      <x:c r="H92" s="6" t="str">
        <x:v>Есть сведения; см. ограничения</x:v>
      </x:c>
      <x:c r="I92" s="6" t="str">
        <x:v>См. карточку</x:v>
      </x:c>
      <x:c r="J92" s="12" t="n">
        <x:v>1</x:v>
      </x:c>
      <x:c r="K92" s="6" t="str">
        <x:v>См. коды и ограничения на листе «Сопоставления»</x:v>
      </x:c>
      <x:c r="L92" s="6"/>
      <x:c r="M92" s="13" t="str">
        <x:v>https://bio-kompleks.ru/catalog/vsya_produktsiya/bio_kompleks_omu_dlya_roz_pionov_tm_biosha/</x:v>
      </x:c>
      <x:c r="N92" s="13"/>
    </x:row>
    <x:row r="93" ht="68" customHeight="1">
      <x:c r="A93" s="9" t="str">
        <x:v>P0088</x:v>
      </x:c>
      <x:c r="B93" s="9" t="str">
        <x:v>Био-комплекс</x:v>
      </x:c>
      <x:c r="C93" s="9" t="str">
        <x:v>БИО-комплекс ОМУ для томатов, перцев и баклажанов, ТМ БИОША</x:v>
      </x:c>
      <x:c r="D93" s="9" t="str">
        <x:v>Средство для растений/почвы</x:v>
      </x:c>
      <x:c r="E93" s="9" t="str">
        <x:v>Розничный каталог</x:v>
      </x:c>
      <x:c r="F93" s="9" t="str">
        <x:v>C02</x:v>
      </x:c>
      <x:c r="G93" s="9" t="str">
        <x:v>Азот 4%, фосфор 9%, калий 11%, кальций 5,5%, кремний 4%, магний 1,5%, сера 0,5%, натрий, бор, цинк, железо, медь, марганец, молибден, кобальт.</x:v>
      </x:c>
      <x:c r="H93" s="9" t="str">
        <x:v>Есть сведения; см. ограничения</x:v>
      </x:c>
      <x:c r="I93" s="9" t="str">
        <x:v>См. карточку</x:v>
      </x:c>
      <x:c r="J93" s="10" t="n">
        <x:v>1</x:v>
      </x:c>
      <x:c r="K93" s="9" t="str">
        <x:v>См. коды и ограничения на листе «Сопоставления»</x:v>
      </x:c>
      <x:c r="L93" s="9"/>
      <x:c r="M93" s="11" t="str">
        <x:v>https://bio-kompleks.ru/catalog/vsya_produktsiya/bio_kompleks_omu_dlya_tomatov_pertsev_i_baklazhanov_tm_biosha/</x:v>
      </x:c>
      <x:c r="N93" s="11"/>
    </x:row>
    <x:row r="94" ht="68" customHeight="1">
      <x:c r="A94" s="6" t="str">
        <x:v>P0089</x:v>
      </x:c>
      <x:c r="B94" s="6" t="str">
        <x:v>Био-комплекс</x:v>
      </x:c>
      <x:c r="C94" s="6" t="str">
        <x:v>БИО-комплекс ОМУ для хвойных культур, ТМ БИОША</x:v>
      </x:c>
      <x:c r="D94" s="6" t="str">
        <x:v>Средство для растений/почвы</x:v>
      </x:c>
      <x:c r="E94" s="6" t="str">
        <x:v>Розничный каталог</x:v>
      </x:c>
      <x:c r="F94" s="6" t="str">
        <x:v>C09</x:v>
      </x:c>
      <x:c r="G94" s="6" t="str">
        <x:v>Азот 2,5%, фосфор 7%, калий 9%, магний 1,5%, сера 1%, кальций, бор, цинк, железо, медь, марганец, кобальт, а также гуминовые вещества, витамины и аминокислоты.</x:v>
      </x:c>
      <x:c r="H94" s="6" t="str">
        <x:v>Есть сведения; см. ограничения</x:v>
      </x:c>
      <x:c r="I94" s="6" t="str">
        <x:v>См. карточку</x:v>
      </x:c>
      <x:c r="J94" s="12" t="n">
        <x:v>1</x:v>
      </x:c>
      <x:c r="K94" s="6" t="str">
        <x:v>См. коды и ограничения на листе «Сопоставления»</x:v>
      </x:c>
      <x:c r="L94" s="6"/>
      <x:c r="M94" s="13" t="str">
        <x:v>https://bio-kompleks.ru/catalog/vsya_produktsiya/bio_kompleks_omu_dlya_khvoynykh_kultur_tm_biosha/</x:v>
      </x:c>
      <x:c r="N94" s="13"/>
    </x:row>
    <x:row r="95" ht="68" customHeight="1">
      <x:c r="A95" s="9" t="str">
        <x:v>P0090</x:v>
      </x:c>
      <x:c r="B95" s="9" t="str">
        <x:v>Био-комплекс</x:v>
      </x:c>
      <x:c r="C95" s="9" t="str">
        <x:v>БИО-комплекс ОМУ осень универсальное, ТМ БИОША</x:v>
      </x:c>
      <x:c r="D95" s="9" t="str">
        <x:v>Средство для растений/почвы</x:v>
      </x:c>
      <x:c r="E95" s="9" t="str">
        <x:v>Розничный каталог</x:v>
      </x:c>
      <x:c r="F95" s="9" t="str">
        <x:v>C01; C21</x:v>
      </x:c>
      <x:c r="G95" s="9" t="str">
        <x:v>Азот 2%, фосфор 10%, калий 20%, кальций 6,5%, магний 3,5%, кремний 3,5%, сера 0,4%, натрий, бор, цинк, железо, медь, марганец, молибден, кобальт.</x:v>
      </x:c>
      <x:c r="H95" s="9" t="str">
        <x:v>Есть сведения; см. ограничения</x:v>
      </x:c>
      <x:c r="I95" s="9" t="str">
        <x:v>См. карточку</x:v>
      </x:c>
      <x:c r="J95" s="10" t="n">
        <x:v>1</x:v>
      </x:c>
      <x:c r="K95" s="9" t="str">
        <x:v>См. коды и ограничения на листе «Сопоставления»</x:v>
      </x:c>
      <x:c r="L95" s="9"/>
      <x:c r="M95" s="11" t="str">
        <x:v>https://bio-kompleks.ru/catalog/vsya_produktsiya/bio_kompleks_omu_osen_universalnoe_tm_biosha/</x:v>
      </x:c>
      <x:c r="N95" s="11"/>
    </x:row>
    <x:row r="96" ht="68" customHeight="1">
      <x:c r="A96" s="6" t="str">
        <x:v>P0091</x:v>
      </x:c>
      <x:c r="B96" s="6" t="str">
        <x:v>Био-комплекс</x:v>
      </x:c>
      <x:c r="C96" s="6" t="str">
        <x:v>БИО-комплекс Петуния БУМ</x:v>
      </x:c>
      <x:c r="D96" s="6" t="str">
        <x:v>Средство для растений/почвы</x:v>
      </x:c>
      <x:c r="E96" s="6" t="str">
        <x:v>Розничный каталог</x:v>
      </x:c>
      <x:c r="F96" s="6" t="str">
        <x:v>C17</x:v>
      </x:c>
      <x:c r="G96" s="6" t="str">
        <x:v>макроэлементы (азот, фосфор, калий, кальций, магний, сера), микроэлементы (бор, железо, цинк, марганец, молибден и др.), витамины, аминокислоты. Повышенное содержание КАЛИЯ + БОР – важнейших элементов для бутонизации.</x:v>
      </x:c>
      <x:c r="H96" s="6" t="str">
        <x:v>Есть сведения; см. ограничения</x:v>
      </x:c>
      <x:c r="I96" s="6" t="str">
        <x:v>См. карточку</x:v>
      </x:c>
      <x:c r="J96" s="12" t="n">
        <x:v>1</x:v>
      </x:c>
      <x:c r="K96" s="6" t="str">
        <x:v>См. коды и ограничения на листе «Сопоставления»</x:v>
      </x:c>
      <x:c r="L96" s="6"/>
      <x:c r="M96" s="13" t="str">
        <x:v>https://bio-kompleks.ru/catalog/vsya_produktsiya/bio_kompleks_petuniya_bum/</x:v>
      </x:c>
      <x:c r="N96" s="13"/>
    </x:row>
    <x:row r="97" ht="68" customHeight="1">
      <x:c r="A97" s="9" t="str">
        <x:v>P0092</x:v>
      </x:c>
      <x:c r="B97" s="9" t="str">
        <x:v>Био-комплекс</x:v>
      </x:c>
      <x:c r="C97" s="9" t="str">
        <x:v>БИО-комплекс Рассада БУМ</x:v>
      </x:c>
      <x:c r="D97" s="9" t="str">
        <x:v>Средство для растений/почвы</x:v>
      </x:c>
      <x:c r="E97" s="9" t="str">
        <x:v>Розничный каталог</x:v>
      </x:c>
      <x:c r="F97" s="9" t="str">
        <x:v>C04</x:v>
      </x:c>
      <x:c r="G97" s="9" t="str">
        <x:v>макроэлементы (азот, фосфор, калий), микроэлементы (кальций, магний, сера, железо, цинк, бор, марганец, молибден и др.), витамины, углеводы, аминокислоты.</x:v>
      </x:c>
      <x:c r="H97" s="9" t="str">
        <x:v>Есть сведения; см. ограничения</x:v>
      </x:c>
      <x:c r="I97" s="9" t="str">
        <x:v>См. карточку</x:v>
      </x:c>
      <x:c r="J97" s="10" t="n">
        <x:v>1</x:v>
      </x:c>
      <x:c r="K97" s="9" t="str">
        <x:v>См. коды и ограничения на листе «Сопоставления»</x:v>
      </x:c>
      <x:c r="L97" s="9"/>
      <x:c r="M97" s="11" t="str">
        <x:v>https://bio-kompleks.ru/catalog/vsya_produktsiya/bio_kompleks_rassada_bum/</x:v>
      </x:c>
      <x:c r="N97" s="11"/>
    </x:row>
    <x:row r="98" ht="96" customHeight="1">
      <x:c r="A98" s="6" t="str">
        <x:v>P0093</x:v>
      </x:c>
      <x:c r="B98" s="6" t="str">
        <x:v>Био-комплекс</x:v>
      </x:c>
      <x:c r="C98" s="6" t="str">
        <x:v>БИО-комплекс Рыбная мука</x:v>
      </x:c>
      <x:c r="D98" s="6" t="str">
        <x:v>Средство для растений/почвы</x:v>
      </x:c>
      <x:c r="E98" s="6" t="str">
        <x:v>Розничный каталог</x:v>
      </x:c>
      <x:c r="F98" s="6" t="str">
        <x:v>G03</x:v>
      </x:c>
      <x:c r="G98" s="6" t="str">
        <x:v>рыбная мука мелкого помола из отборного обезжиренного сырья с высоким содержанием азота, фосфора и кальция. Азот (7%), фосфор (7%), кальций (8%), железо, калий, магний, натрий, сера, кобальт, медь, цинк, хром, марганец, фтор, йод, селен, витамины А, D, группы В, белки и аминокислоты.</x:v>
      </x:c>
      <x:c r="H98" s="6" t="str">
        <x:v>Есть сведения; см. ограничения</x:v>
      </x:c>
      <x:c r="I98" s="6" t="str">
        <x:v>Сухой продукт</x:v>
      </x:c>
      <x:c r="J98" s="12" t="n">
        <x:v>1</x:v>
      </x:c>
      <x:c r="K98" s="6" t="str">
        <x:v>См. коды и ограничения на листе «Сопоставления»</x:v>
      </x:c>
      <x:c r="L98" s="6"/>
      <x:c r="M98" s="13" t="str">
        <x:v>https://bio-kompleks.ru/catalog/vsya_produktsiya/bio_kompleks_rybnaya_muka/</x:v>
      </x:c>
      <x:c r="N98" s="13"/>
    </x:row>
    <x:row r="99" ht="110" customHeight="1">
      <x:c r="A99" s="9" t="str">
        <x:v>P0094</x:v>
      </x:c>
      <x:c r="B99" s="9" t="str">
        <x:v>Био-комплекс</x:v>
      </x:c>
      <x:c r="C99" s="9" t="str">
        <x:v>БИО-комплекс Сапропель Суперконцентрат</x:v>
      </x:c>
      <x:c r="D99" s="9" t="str">
        <x:v>Средство для растений/почвы</x:v>
      </x:c>
      <x:c r="E99" s="9" t="str">
        <x:v>Розничный каталог</x:v>
      </x:c>
      <x:c r="F99" s="9" t="str">
        <x:v>G08</x:v>
      </x:c>
      <x:c r="G99" s="9" t="str">
        <x:v>натуральные антибиотики, витамины, аминокислоты, гуминовые вещества, азот - 2,6, фосфор - 1,4, калий - 1,2, кремний - 1,9, железо - 0,9, цинк - 0,1, магний - 0,5, кальций - 1,7 Содержит до 60% органических веществ, переработанных донными бактериями без доступа кислорода (нет оксидантов, негативно влияющих на кровеносную систему человека).</x:v>
      </x:c>
      <x:c r="H99" s="9" t="str">
        <x:v>Есть сведения; см. ограничения</x:v>
      </x:c>
      <x:c r="I99" s="9" t="str">
        <x:v>Жидкость/концентрат</x:v>
      </x:c>
      <x:c r="J99" s="10" t="n">
        <x:v>1</x:v>
      </x:c>
      <x:c r="K99" s="9" t="str">
        <x:v>См. коды и ограничения на листе «Сопоставления»</x:v>
      </x:c>
      <x:c r="L99" s="9"/>
      <x:c r="M99" s="11" t="str">
        <x:v>https://bio-kompleks.ru/catalog/vsya_produktsiya/bio_kompleks_sapropel_superkontsentrat_/</x:v>
      </x:c>
      <x:c r="N99" s="11"/>
    </x:row>
    <x:row r="100" ht="68" customHeight="1">
      <x:c r="A100" s="6" t="str">
        <x:v>P0095</x:v>
      </x:c>
      <x:c r="B100" s="6" t="str">
        <x:v>Био-комплекс</x:v>
      </x:c>
      <x:c r="C100" s="6" t="str">
        <x:v>БИО-комплекс Серебромедин</x:v>
      </x:c>
      <x:c r="D100" s="6" t="str">
        <x:v>Средство для растений/почвы</x:v>
      </x:c>
      <x:c r="E100" s="6" t="str">
        <x:v>Розничный каталог</x:v>
      </x:c>
      <x:c r="F100" s="6" t="str">
        <x:v>G30</x:v>
      </x:c>
      <x:c r="G100" s="6" t="str">
        <x:v>вода, арабиногалактан, наночастицы серебра, наночастицы меди.</x:v>
      </x:c>
      <x:c r="H100" s="6" t="str">
        <x:v>Есть сведения; см. ограничения</x:v>
      </x:c>
      <x:c r="I100" s="6" t="str">
        <x:v>См. карточку</x:v>
      </x:c>
      <x:c r="J100" s="12" t="n">
        <x:v>1</x:v>
      </x:c>
      <x:c r="K100" s="6" t="str">
        <x:v>См. коды и ограничения на листе «Сопоставления»</x:v>
      </x:c>
      <x:c r="L100" s="6"/>
      <x:c r="M100" s="13" t="str">
        <x:v>https://bio-kompleks.ru/catalog/vsya_produktsiya/bio_kompleks_serebromedin_/</x:v>
      </x:c>
      <x:c r="N100" s="13"/>
    </x:row>
    <x:row r="101" ht="68" customHeight="1">
      <x:c r="A101" s="9" t="str">
        <x:v>P0096</x:v>
      </x:c>
      <x:c r="B101" s="9" t="str">
        <x:v>Био-комплекс</x:v>
      </x:c>
      <x:c r="C101" s="9" t="str">
        <x:v>БИО-комплекс Сила аминокислот, ТМ Удобряша</x:v>
      </x:c>
      <x:c r="D101" s="9" t="str">
        <x:v>Средство для растений/почвы</x:v>
      </x:c>
      <x:c r="E101" s="9" t="str">
        <x:v>Розничный каталог</x:v>
      </x:c>
      <x:c r="F101" s="9" t="str">
        <x:v>G01</x:v>
      </x:c>
      <x:c r="G101" s="9" t="str">
        <x:v>аминокислотные гидролизаты перьевой муки, бобовых, злаковых и овощных культур. </x:v>
      </x:c>
      <x:c r="H101" s="9" t="str">
        <x:v>Есть сведения; см. ограничения</x:v>
      </x:c>
      <x:c r="I101" s="9" t="str">
        <x:v>См. карточку</x:v>
      </x:c>
      <x:c r="J101" s="10" t="n">
        <x:v>1</x:v>
      </x:c>
      <x:c r="K101" s="9" t="str">
        <x:v>См. коды и ограничения на листе «Сопоставления»</x:v>
      </x:c>
      <x:c r="L101" s="9"/>
      <x:c r="M101" s="11" t="str">
        <x:v>https://bio-kompleks.ru/catalog/vsya_produktsiya/bio_kompleks_sila_aminokislot_tm_udobryasha/</x:v>
      </x:c>
      <x:c r="N101" s="11"/>
    </x:row>
    <x:row r="102" ht="68" customHeight="1">
      <x:c r="A102" s="6" t="str">
        <x:v>P0097</x:v>
      </x:c>
      <x:c r="B102" s="6" t="str">
        <x:v>Био-комплекс</x:v>
      </x:c>
      <x:c r="C102" s="6" t="str">
        <x:v>БИО-комплекс Стимулятор РОСТА и ИММУНИТЕТА, ТМ МАГ</x:v>
      </x:c>
      <x:c r="D102" s="6" t="str">
        <x:v>Средство для растений/почвы</x:v>
      </x:c>
      <x:c r="E102" s="6" t="str">
        <x:v>Розничный каталог</x:v>
      </x:c>
      <x:c r="F102" s="6" t="str">
        <x:v>G41</x:v>
      </x:c>
      <x:c r="G102" s="6" t="str">
        <x:v>янтарная кислота, фульвовые и гуминовые кислоты, биодоступные элементы (азот, сера, железо, марганец, медь, цинк, молибден, селен, кобальт, бор, кремний), комплекс аминокислот.</x:v>
      </x:c>
      <x:c r="H102" s="6" t="str">
        <x:v>Есть сведения; см. ограничения</x:v>
      </x:c>
      <x:c r="I102" s="6" t="str">
        <x:v>См. карточку</x:v>
      </x:c>
      <x:c r="J102" s="12" t="n">
        <x:v>1</x:v>
      </x:c>
      <x:c r="K102" s="6" t="str">
        <x:v>См. коды и ограничения на листе «Сопоставления»</x:v>
      </x:c>
      <x:c r="L102" s="6"/>
      <x:c r="M102" s="13" t="str">
        <x:v>https://bio-kompleks.ru/catalog/vsya_produktsiya/bio_kompleks_stimulyator_rosta_i_immuniteta_tm_mag_50g_16/</x:v>
      </x:c>
      <x:c r="N102" s="13"/>
    </x:row>
    <x:row r="103" ht="68" customHeight="1">
      <x:c r="A103" s="9" t="str">
        <x:v>P0098</x:v>
      </x:c>
      <x:c r="B103" s="9" t="str">
        <x:v>Био-комплекс</x:v>
      </x:c>
      <x:c r="C103" s="9" t="str">
        <x:v>БИО-комплекс Стимулятор ЦВЕТЕНИЯ и ПЛОДОНОШЕНИЯ, ТМ МАГ</x:v>
      </x:c>
      <x:c r="D103" s="9" t="str">
        <x:v>Средство для растений/почвы</x:v>
      </x:c>
      <x:c r="E103" s="9" t="str">
        <x:v>Розничный каталог</x:v>
      </x:c>
      <x:c r="F103" s="9" t="str">
        <x:v>G38</x:v>
      </x:c>
      <x:c r="G103" s="9" t="str">
        <x:v>хелат бора, янтарная кислота, комплекс аминокислот для цветения и плодоношения, легкодоступные калий, железо, марганец, цинк; биодоступный кремний, фульвовые и гуминовые кислоты, комплекс витаминов группы В.</x:v>
      </x:c>
      <x:c r="H103" s="9" t="str">
        <x:v>Есть сведения; см. ограничения</x:v>
      </x:c>
      <x:c r="I103" s="9" t="str">
        <x:v>См. карточку</x:v>
      </x:c>
      <x:c r="J103" s="10" t="n">
        <x:v>1</x:v>
      </x:c>
      <x:c r="K103" s="9" t="str">
        <x:v>См. коды и ограничения на листе «Сопоставления»</x:v>
      </x:c>
      <x:c r="L103" s="9"/>
      <x:c r="M103" s="11" t="str">
        <x:v>https://bio-kompleks.ru/catalog/vsya_produktsiya/bio_kompleks_stimulyator_tsveteniya_i_plodonosheniya_tm_mag_46g_16/</x:v>
      </x:c>
      <x:c r="N103" s="11"/>
    </x:row>
    <x:row r="104" ht="68" customHeight="1">
      <x:c r="A104" s="6" t="str">
        <x:v>P0099</x:v>
      </x:c>
      <x:c r="B104" s="6" t="str">
        <x:v>Био-комплекс</x:v>
      </x:c>
      <x:c r="C104" s="6" t="str">
        <x:v>БИО-комплекс СуперКАЛЬЦИЙ, раскислитель, кальциево-магниевое удобрение</x:v>
      </x:c>
      <x:c r="D104" s="6" t="str">
        <x:v>Средство для растений/почвы</x:v>
      </x:c>
      <x:c r="E104" s="6" t="str">
        <x:v>Розничный каталог</x:v>
      </x:c>
      <x:c r="F104" s="6" t="str">
        <x:v>G22</x:v>
      </x:c>
      <x:c r="G104" s="6" t="str">
        <x:v>оксид кальция (CaO) - 40 %, оксид магния (MgO) - 26 %.</x:v>
      </x:c>
      <x:c r="H104" s="6" t="str">
        <x:v>Есть сведения; см. ограничения</x:v>
      </x:c>
      <x:c r="I104" s="6" t="str">
        <x:v>См. карточку</x:v>
      </x:c>
      <x:c r="J104" s="12" t="n">
        <x:v>1</x:v>
      </x:c>
      <x:c r="K104" s="6" t="str">
        <x:v>См. коды и ограничения на листе «Сопоставления»</x:v>
      </x:c>
      <x:c r="L104" s="6"/>
      <x:c r="M104" s="13" t="str">
        <x:v>https://bio-kompleks.ru/catalog/vsya_produktsiya/bio_kompleks_superkaltsiy_raskislitel_kaltsievo_magnievoe_udobrenie/</x:v>
      </x:c>
      <x:c r="N104" s="13"/>
    </x:row>
    <x:row r="105" ht="68" customHeight="1">
      <x:c r="A105" s="9" t="str">
        <x:v>P0100</x:v>
      </x:c>
      <x:c r="B105" s="9" t="str">
        <x:v>Био-комплекс</x:v>
      </x:c>
      <x:c r="C105" s="9" t="str">
        <x:v>БИО-комплекс СуперКомпост</x:v>
      </x:c>
      <x:c r="D105" s="9" t="str">
        <x:v>Средство для растений/почвы</x:v>
      </x:c>
      <x:c r="E105" s="9" t="str">
        <x:v>Розничный каталог</x:v>
      </x:c>
      <x:c r="F105" s="9" t="str">
        <x:v>G11</x:v>
      </x:c>
      <x:c r="G105" s="9" t="str">
        <x:v>культуральная водная среда, микробиологический препарат Микобакт марка РФ (целлюлозо- и лигнинразрушающие, азотфиксирующих бактерии).</x:v>
      </x:c>
      <x:c r="H105" s="9" t="str">
        <x:v>Есть сведения; см. ограничения</x:v>
      </x:c>
      <x:c r="I105" s="9" t="str">
        <x:v>См. карточку</x:v>
      </x:c>
      <x:c r="J105" s="10" t="n">
        <x:v>1</x:v>
      </x:c>
      <x:c r="K105" s="9" t="str">
        <x:v>См. коды и ограничения на листе «Сопоставления»</x:v>
      </x:c>
      <x:c r="L105" s="9"/>
      <x:c r="M105" s="11" t="str">
        <x:v>https://bio-kompleks.ru/catalog/vsya_produktsiya/bio_kompleks_superkompost/</x:v>
      </x:c>
      <x:c r="N105" s="11"/>
    </x:row>
    <x:row r="106" ht="124" customHeight="1">
      <x:c r="A106" s="6" t="str">
        <x:v>P0101</x:v>
      </x:c>
      <x:c r="B106" s="6" t="str">
        <x:v>Био-комплекс</x:v>
      </x:c>
      <x:c r="C106" s="6" t="str">
        <x:v>БИО-комплекс Суспензия Хлореллы Концентрат</x:v>
      </x:c>
      <x:c r="D106" s="6" t="str">
        <x:v>Средство для растений/почвы</x:v>
      </x:c>
      <x:c r="E106" s="6" t="str">
        <x:v>Розничный каталог</x:v>
      </x:c>
      <x:c r="F106" s="6" t="str">
        <x:v>G25</x:v>
      </x:c>
      <x:c r="G106" s="6" t="str">
        <x:v>- культивированная водная среда, - комплекс фитогормонов и физиологически активных веществ (гибберелины, ауксины, цитокинины и др.), - белок высочайшего качества, включающий более 40 аминокислот, в т.ч. 20 основных, - все известные витамины (А, В1, В2, В5, В6, В9, В12, С, D, Е, К, РР и др.), - широкий набор макро- и микроэлементов в биодоступной форме, - природный антибиотик «хлореллин».</x:v>
      </x:c>
      <x:c r="H106" s="6" t="str">
        <x:v>Есть сведения; см. ограничения</x:v>
      </x:c>
      <x:c r="I106" s="6" t="str">
        <x:v>Жидкость/концентрат</x:v>
      </x:c>
      <x:c r="J106" s="12" t="n">
        <x:v>1</x:v>
      </x:c>
      <x:c r="K106" s="6" t="str">
        <x:v>См. коды и ограничения на листе «Сопоставления»</x:v>
      </x:c>
      <x:c r="L106" s="6"/>
      <x:c r="M106" s="13" t="str">
        <x:v>https://bio-kompleks.ru/catalog/vsya_produktsiya/bio_kompleks_suspenziya_khlorelly_kontsentrat/</x:v>
      </x:c>
      <x:c r="N106" s="13"/>
    </x:row>
    <x:row r="107" ht="68" customHeight="1">
      <x:c r="A107" s="9" t="str">
        <x:v>P0102</x:v>
      </x:c>
      <x:c r="B107" s="9" t="str">
        <x:v>Био-комплекс</x:v>
      </x:c>
      <x:c r="C107" s="9" t="str">
        <x:v>БИО-комплекс Удобрение для антуриума, Секрет счастья</x:v>
      </x:c>
      <x:c r="D107" s="9" t="str">
        <x:v>Средство для растений/почвы</x:v>
      </x:c>
      <x:c r="E107" s="9" t="str">
        <x:v>Розничный каталог</x:v>
      </x:c>
      <x:c r="F107" s="9" t="str">
        <x:v>C11</x:v>
      </x:c>
      <x:c r="G107" s="9" t="str">
        <x:v>макроэлементы (азот, фосфор, калий, сера, магний), 10 микроэлементов (марганец, бор, железо, цинк, медь, натрий, кремний, молибден и т.д.), витамины, углеводы, аминокислоты.</x:v>
      </x:c>
      <x:c r="H107" s="9" t="str">
        <x:v>Есть сведения; см. ограничения</x:v>
      </x:c>
      <x:c r="I107" s="9" t="str">
        <x:v>См. карточку</x:v>
      </x:c>
      <x:c r="J107" s="10" t="n">
        <x:v>1</x:v>
      </x:c>
      <x:c r="K107" s="9" t="str">
        <x:v>См. коды и ограничения на листе «Сопоставления»</x:v>
      </x:c>
      <x:c r="L107" s="9"/>
      <x:c r="M107" s="11" t="str">
        <x:v>https://bio-kompleks.ru/catalog/vsya_produktsiya/bio_kompleks_udobrenie_dlya_anturiuma_sekret_schastya_75_g_16/</x:v>
      </x:c>
      <x:c r="N107" s="11"/>
    </x:row>
    <x:row r="108" ht="68" customHeight="1">
      <x:c r="A108" s="6" t="str">
        <x:v>P0103</x:v>
      </x:c>
      <x:c r="B108" s="6" t="str">
        <x:v>Био-комплекс</x:v>
      </x:c>
      <x:c r="C108" s="6" t="str">
        <x:v>БИО-комплекс Удобрение для замиокулькаса, Секрет счастья</x:v>
      </x:c>
      <x:c r="D108" s="6" t="str">
        <x:v>Средство для растений/почвы</x:v>
      </x:c>
      <x:c r="E108" s="6" t="str">
        <x:v>Розничный каталог</x:v>
      </x:c>
      <x:c r="F108" s="6" t="str">
        <x:v>C11</x:v>
      </x:c>
      <x:c r="G108" s="6" t="str">
        <x:v>макроэлементы (азот, фосфор, калий, магний), 8 микроэлементов (марганец, железо, цинк, медь, натрий, кремний, молибден и т.д.), витамины, углеводы, аминокислоты.</x:v>
      </x:c>
      <x:c r="H108" s="6" t="str">
        <x:v>Есть сведения; см. ограничения</x:v>
      </x:c>
      <x:c r="I108" s="6" t="str">
        <x:v>См. карточку</x:v>
      </x:c>
      <x:c r="J108" s="12" t="n">
        <x:v>1</x:v>
      </x:c>
      <x:c r="K108" s="6" t="str">
        <x:v>См. коды и ограничения на листе «Сопоставления»</x:v>
      </x:c>
      <x:c r="L108" s="6"/>
      <x:c r="M108" s="13" t="str">
        <x:v>https://bio-kompleks.ru/catalog/vsya_produktsiya/bio_kompleks_udobrenie_dlya_zamiokulkasa_sekret_schastya_75_g_16/</x:v>
      </x:c>
      <x:c r="N108" s="13"/>
    </x:row>
    <x:row r="109" ht="68" customHeight="1">
      <x:c r="A109" s="9" t="str">
        <x:v>P0104</x:v>
      </x:c>
      <x:c r="B109" s="9" t="str">
        <x:v>Био-комплекс</x:v>
      </x:c>
      <x:c r="C109" s="9" t="str">
        <x:v>БИО-комплекс Удобрение для орхидеи, Секрет счастья</x:v>
      </x:c>
      <x:c r="D109" s="9" t="str">
        <x:v>Средство для растений/почвы</x:v>
      </x:c>
      <x:c r="E109" s="9" t="str">
        <x:v>Розничный каталог</x:v>
      </x:c>
      <x:c r="F109" s="9" t="str">
        <x:v>C12</x:v>
      </x:c>
      <x:c r="G109" s="9" t="str">
        <x:v>макроэлементы (азот, фосфор, калий, магний, сера), 10 микроэлементов (марганец, бор, железо, цинк, медь, натрий, молибден, кремний и т.д.), витамины, углеводы, аминокислоты.</x:v>
      </x:c>
      <x:c r="H109" s="9" t="str">
        <x:v>Есть сведения; см. ограничения</x:v>
      </x:c>
      <x:c r="I109" s="9" t="str">
        <x:v>См. карточку</x:v>
      </x:c>
      <x:c r="J109" s="10" t="n">
        <x:v>1</x:v>
      </x:c>
      <x:c r="K109" s="9" t="str">
        <x:v>См. коды и ограничения на листе «Сопоставления»</x:v>
      </x:c>
      <x:c r="L109" s="9"/>
      <x:c r="M109" s="11" t="str">
        <x:v>https://bio-kompleks.ru/catalog/vsya_produktsiya/bio_kompleks_udobrenie_dlya_orkhidei_sekret_schastya_75_g_16/</x:v>
      </x:c>
      <x:c r="N109" s="11"/>
    </x:row>
    <x:row r="110" ht="68" customHeight="1">
      <x:c r="A110" s="6" t="str">
        <x:v>P0105</x:v>
      </x:c>
      <x:c r="B110" s="6" t="str">
        <x:v>Био-комплекс</x:v>
      </x:c>
      <x:c r="C110" s="6" t="str">
        <x:v>БИО-комплекс Удобрение для спатифиллума, Секрет счастья</x:v>
      </x:c>
      <x:c r="D110" s="6" t="str">
        <x:v>Средство для растений/почвы</x:v>
      </x:c>
      <x:c r="E110" s="6" t="str">
        <x:v>Розничный каталог</x:v>
      </x:c>
      <x:c r="F110" s="6" t="str">
        <x:v>C11</x:v>
      </x:c>
      <x:c r="G110" s="6" t="str">
        <x:v>макроэлементы (азот, фосфор, калий, магний, сера), 10 микроэлементов (марганец, бор, железо, цинк, медь, натрий, молибден, кремний и т.д.), витамины, углеводы, аминокислоты.</x:v>
      </x:c>
      <x:c r="H110" s="6" t="str">
        <x:v>Есть сведения; см. ограничения</x:v>
      </x:c>
      <x:c r="I110" s="6" t="str">
        <x:v>См. карточку</x:v>
      </x:c>
      <x:c r="J110" s="12" t="n">
        <x:v>1</x:v>
      </x:c>
      <x:c r="K110" s="6" t="str">
        <x:v>См. коды и ограничения на листе «Сопоставления»</x:v>
      </x:c>
      <x:c r="L110" s="6"/>
      <x:c r="M110" s="13" t="str">
        <x:v>https://bio-kompleks.ru/catalog/vsya_produktsiya/bio_kompleks_udobrenie_dlya_spatifilluma_sekret_schastya_75_g_16/</x:v>
      </x:c>
      <x:c r="N110" s="13"/>
    </x:row>
    <x:row r="111" ht="68" customHeight="1">
      <x:c r="A111" s="9" t="str">
        <x:v>P0106</x:v>
      </x:c>
      <x:c r="B111" s="9" t="str">
        <x:v>Био-комплекс</x:v>
      </x:c>
      <x:c r="C111" s="9" t="str">
        <x:v>БИО-комплекс Удобрение для суккулентов и кактусов, Секрет счастья</x:v>
      </x:c>
      <x:c r="D111" s="9" t="str">
        <x:v>Средство для растений/почвы</x:v>
      </x:c>
      <x:c r="E111" s="9" t="str">
        <x:v>Розничный каталог</x:v>
      </x:c>
      <x:c r="F111" s="9" t="str">
        <x:v>C15</x:v>
      </x:c>
      <x:c r="G111" s="9" t="str">
        <x:v>макроэлементы (азот, фосфор, калий, магний), 9 микроэлементов (марганец, железо, цинк, медь, натрий, молибден, кремний и т.д.), витамины, углеводы, аминокислоты.</x:v>
      </x:c>
      <x:c r="H111" s="9" t="str">
        <x:v>Есть сведения; см. ограничения</x:v>
      </x:c>
      <x:c r="I111" s="9" t="str">
        <x:v>См. карточку</x:v>
      </x:c>
      <x:c r="J111" s="10" t="n">
        <x:v>1</x:v>
      </x:c>
      <x:c r="K111" s="9" t="str">
        <x:v>См. коды и ограничения на листе «Сопоставления»</x:v>
      </x:c>
      <x:c r="L111" s="9"/>
      <x:c r="M111" s="11" t="str">
        <x:v>https://bio-kompleks.ru/catalog/vsya_produktsiya/bio_kompleks_udobrenie_dlya_sukkulentov_i_kaktusov_sekret_schastya_75_g_16/</x:v>
      </x:c>
      <x:c r="N111" s="11"/>
    </x:row>
    <x:row r="112" ht="68" customHeight="1">
      <x:c r="A112" s="6" t="str">
        <x:v>P0107</x:v>
      </x:c>
      <x:c r="B112" s="6" t="str">
        <x:v>Био-комплекс</x:v>
      </x:c>
      <x:c r="C112" s="6" t="str">
        <x:v>БИО-комплекс Удобрение для фиалки, Секрет счастья</x:v>
      </x:c>
      <x:c r="D112" s="6" t="str">
        <x:v>Средство для растений/почвы</x:v>
      </x:c>
      <x:c r="E112" s="6" t="str">
        <x:v>Розничный каталог</x:v>
      </x:c>
      <x:c r="F112" s="6" t="str">
        <x:v>C14</x:v>
      </x:c>
      <x:c r="G112" s="6" t="str">
        <x:v>макроэлементы (азот, фосфор, калий, магний, сера), 9 микроэлементов (марганец, бор, железо, цинк, медь, натрий, кремний и т.д.), витамины, углеводы, аминокислоты.</x:v>
      </x:c>
      <x:c r="H112" s="6" t="str">
        <x:v>Есть сведения; см. ограничения</x:v>
      </x:c>
      <x:c r="I112" s="6" t="str">
        <x:v>См. карточку</x:v>
      </x:c>
      <x:c r="J112" s="12" t="n">
        <x:v>1</x:v>
      </x:c>
      <x:c r="K112" s="6" t="str">
        <x:v>См. коды и ограничения на листе «Сопоставления»</x:v>
      </x:c>
      <x:c r="L112" s="6"/>
      <x:c r="M112" s="13" t="str">
        <x:v>https://bio-kompleks.ru/catalog/vsya_produktsiya/bio_kompleks_udobrenie_dlya_fialki_sekret_schastya_75_g_16/</x:v>
      </x:c>
      <x:c r="N112" s="13"/>
    </x:row>
    <x:row r="113" ht="68" customHeight="1">
      <x:c r="A113" s="9" t="str">
        <x:v>P0108</x:v>
      </x:c>
      <x:c r="B113" s="9" t="str">
        <x:v>Био-комплекс</x:v>
      </x:c>
      <x:c r="C113" s="9" t="str">
        <x:v>БИО-комплекс Удобрение Здоровая листва, Секрет счастья</x:v>
      </x:c>
      <x:c r="D113" s="9" t="str">
        <x:v>Средство для растений/почвы</x:v>
      </x:c>
      <x:c r="E113" s="9" t="str">
        <x:v>Розничный каталог</x:v>
      </x:c>
      <x:c r="F113" s="9" t="str">
        <x:v>C11</x:v>
      </x:c>
      <x:c r="G113" s="9" t="str">
        <x:v>макроэлементы (азот, фосфор, калий, магний), 8 микроэлементов (марганец, железо, цинк, медь, натрий, кремний и т.д.), витамины, углеводы, аминокислоты.</x:v>
      </x:c>
      <x:c r="H113" s="9" t="str">
        <x:v>Есть сведения; см. ограничения</x:v>
      </x:c>
      <x:c r="I113" s="9" t="str">
        <x:v>См. карточку</x:v>
      </x:c>
      <x:c r="J113" s="10" t="n">
        <x:v>1</x:v>
      </x:c>
      <x:c r="K113" s="9" t="str">
        <x:v>См. коды и ограничения на листе «Сопоставления»</x:v>
      </x:c>
      <x:c r="L113" s="9"/>
      <x:c r="M113" s="11" t="str">
        <x:v>https://bio-kompleks.ru/catalog/vsya_produktsiya/bio_kompleks_udobrenie_zdorovaya_listva_sekret_schastya_75_g_16_nf_00002013_r_10_01_000007/</x:v>
      </x:c>
      <x:c r="N113" s="11"/>
    </x:row>
    <x:row r="114" ht="124" customHeight="1">
      <x:c r="A114" s="6" t="str">
        <x:v>P0109</x:v>
      </x:c>
      <x:c r="B114" s="6" t="str">
        <x:v>Био-комплекс</x:v>
      </x:c>
      <x:c r="C114" s="6" t="str">
        <x:v>БИО-комплекс Удобрение органическое для винограда, ТМ Удобряша</x:v>
      </x:c>
      <x:c r="D114" s="6" t="str">
        <x:v>Средство для растений/почвы</x:v>
      </x:c>
      <x:c r="E114" s="6" t="str">
        <x:v>Розничный каталог</x:v>
      </x:c>
      <x:c r="F114" s="6" t="str">
        <x:v>C20</x:v>
      </x:c>
      <x:c r="G114" s="6" t="str">
        <x:v>рыбная мука, костная мука, кровяная мука, зола подсолнечника, порошок сапропеля , порошок пресноводных водорослей , комплекс полезных почвенных микроорганизмов. Химический состав компонентов (суммарно): · макроэлементы: азот (N) 9%, фосфор (P) 3%, калий (К) 8%, сера (S), хелатные формы кальция (Ca) 11% и магния (Mg) 3%. · микроэлементы: марганец (Mn), железо (Fe), бор (B), медь (Cu), цинк (Zn), натрий (Na), никель (Ni) в… (сокращено)</x:v>
      </x:c>
      <x:c r="H114" s="6" t="str">
        <x:v>Есть сведения; см. ограничения</x:v>
      </x:c>
      <x:c r="I114" s="6" t="str">
        <x:v>См. карточку</x:v>
      </x:c>
      <x:c r="J114" s="12" t="n">
        <x:v>1</x:v>
      </x:c>
      <x:c r="K114" s="6" t="str">
        <x:v>См. коды и ограничения на листе «Сопоставления»</x:v>
      </x:c>
      <x:c r="L114" s="6"/>
      <x:c r="M114" s="13" t="str">
        <x:v>https://bio-kompleks.ru/catalog/vsya_produktsiya/bio_kompleks_udobrenie_organicheskoe_dlya_vinograda_tm_udobryasha/</x:v>
      </x:c>
      <x:c r="N114" s="13"/>
    </x:row>
    <x:row r="115" ht="138" customHeight="1">
      <x:c r="A115" s="9" t="str">
        <x:v>P0110</x:v>
      </x:c>
      <x:c r="B115" s="9" t="str">
        <x:v>Био-комплекс</x:v>
      </x:c>
      <x:c r="C115" s="9" t="str">
        <x:v>БИО-комплекс Удобрение органическое для голубики, брусники, клюквы, черники, ТМ Удобряша</x:v>
      </x:c>
      <x:c r="D115" s="9" t="str">
        <x:v>Средство для растений/почвы</x:v>
      </x:c>
      <x:c r="E115" s="9" t="str">
        <x:v>Розничный каталог</x:v>
      </x:c>
      <x:c r="F115" s="9" t="str">
        <x:v>C08</x:v>
      </x:c>
      <x:c r="G115" s="9" t="str">
        <x:v>хвойная мука, соевая мука, кровяная мука, рыбная мука, ферментативный аминокислотный гидролизат, смесь серосодержащих минералов и природной (самородной) серы, комплекс полезных почвенных микроорганизмов. Химический состав компонентов (суммарно): макроэлементы: азот (N) 6%, фосфор (P) 8%, калий (К) 8%, сера (S) 25%, хелатная форма магния (Mg) 3%. микроэлементы: марганец (Mn), железо (Fe), бор (B), медь (Cu), цинк (Zn), натрий… (сокращено)</x:v>
      </x:c>
      <x:c r="H115" s="9" t="str">
        <x:v>Есть сведения; см. ограничения</x:v>
      </x:c>
      <x:c r="I115" s="9" t="str">
        <x:v>См. карточку</x:v>
      </x:c>
      <x:c r="J115" s="10" t="n">
        <x:v>1</x:v>
      </x:c>
      <x:c r="K115" s="9" t="str">
        <x:v>См. коды и ограничения на листе «Сопоставления»</x:v>
      </x:c>
      <x:c r="L115" s="9"/>
      <x:c r="M115" s="11" t="str">
        <x:v>https://bio-kompleks.ru/catalog/vsya_produktsiya/bio_kompleks_udobrenie_organicheskoe_dlya_golubiki_brusniki_klyukvy_cherniki_tm_udobryasha/</x:v>
      </x:c>
      <x:c r="N115" s="11"/>
    </x:row>
    <x:row r="116" ht="124" customHeight="1">
      <x:c r="A116" s="6" t="str">
        <x:v>P0111</x:v>
      </x:c>
      <x:c r="B116" s="6" t="str">
        <x:v>Био-комплекс</x:v>
      </x:c>
      <x:c r="C116" s="6" t="str">
        <x:v>БИО-комплекс Удобрение органическое для гортензий, ТМ Удобряша</x:v>
      </x:c>
      <x:c r="D116" s="6" t="str">
        <x:v>Средство для растений/почвы</x:v>
      </x:c>
      <x:c r="E116" s="6" t="str">
        <x:v>Розничный каталог</x:v>
      </x:c>
      <x:c r="F116" s="6" t="str">
        <x:v>C07</x:v>
      </x:c>
      <x:c r="G116" s="6" t="str">
        <x:v>рыбная мука, кровяная мука, жмых подсолнечника, пролонгированный природный подкислитель, янтарная кислота, органическая кислота, комплекс полезных почвенных микроорганизмов. Содержание элементов: · макроэлементы: азот ( N ) 2%, фосфор ( P ) 5%, калий (К) 5%, сера ( S ), хелатные формы кальция ( Ca ) и магния ( Mg ). · микроэлементы: марганец ( Mn ), железо ( Fe ), бор ( B ), медь ( Cu ), цинк ( Zn ) в хелатных формах,… (сокращено)</x:v>
      </x:c>
      <x:c r="H116" s="6" t="str">
        <x:v>Есть сведения; см. ограничения</x:v>
      </x:c>
      <x:c r="I116" s="6" t="str">
        <x:v>См. карточку</x:v>
      </x:c>
      <x:c r="J116" s="12" t="n">
        <x:v>1</x:v>
      </x:c>
      <x:c r="K116" s="6" t="str">
        <x:v>См. коды и ограничения на листе «Сопоставления»</x:v>
      </x:c>
      <x:c r="L116" s="6"/>
      <x:c r="M116" s="13" t="str">
        <x:v>https://bio-kompleks.ru/catalog/vsya_produktsiya/bio_kompleks_udobrenie_organicheskoe_dlya_gortenziy_tm_udobryasha/</x:v>
      </x:c>
      <x:c r="N116" s="13"/>
    </x:row>
    <x:row r="117" ht="124" customHeight="1">
      <x:c r="A117" s="9" t="str">
        <x:v>P0112</x:v>
      </x:c>
      <x:c r="B117" s="9" t="str">
        <x:v>Био-комплекс</x:v>
      </x:c>
      <x:c r="C117" s="9" t="str">
        <x:v>БИО-комплекс Удобрение органическое для картофеля, ТМ Удобряша</x:v>
      </x:c>
      <x:c r="D117" s="9" t="str">
        <x:v>Средство для растений/почвы</x:v>
      </x:c>
      <x:c r="E117" s="9" t="str">
        <x:v>Розничный каталог</x:v>
      </x:c>
      <x:c r="F117" s="9" t="str">
        <x:v>C19</x:v>
      </x:c>
      <x:c r="G117" s="9" t="str">
        <x:v>рыбная мука, костная мука, жмых подсолнечника, кровяная мука, жмых горчицы (Sinapis), комплекс полезных почвенных микроорганизмов. Содержание элементов: · макроэлементы: азот ( N ) 5%, фосфор ( P ) 7%, калий (К) 12%, сера ( S ), хелатные формы кальция ( Ca ) и магния ( Mg ). · микроэлементы: марганец ( Mn ), железо ( Fe ), медь ( Cu ), цинк ( Zn ) в хелатных формах, фтор ( F ), селен ( Se ), натрий ( Na ). А также 16… (сокращено)</x:v>
      </x:c>
      <x:c r="H117" s="9" t="str">
        <x:v>Есть сведения; см. ограничения</x:v>
      </x:c>
      <x:c r="I117" s="9" t="str">
        <x:v>См. карточку</x:v>
      </x:c>
      <x:c r="J117" s="10" t="n">
        <x:v>1</x:v>
      </x:c>
      <x:c r="K117" s="9" t="str">
        <x:v>См. коды и ограничения на листе «Сопоставления»</x:v>
      </x:c>
      <x:c r="L117" s="9"/>
      <x:c r="M117" s="11" t="str">
        <x:v>https://bio-kompleks.ru/catalog/vsya_produktsiya/bio_kompleks_udobrenie_organicheskoe_dlya_kartofelya_tm_udobryasha/</x:v>
      </x:c>
      <x:c r="N117" s="11"/>
    </x:row>
    <x:row r="118" ht="124" customHeight="1">
      <x:c r="A118" s="6" t="str">
        <x:v>P0113</x:v>
      </x:c>
      <x:c r="B118" s="6" t="str">
        <x:v>Био-комплекс</x:v>
      </x:c>
      <x:c r="C118" s="6" t="str">
        <x:v>БИО-комплекс Удобрение органическое для лука и чеснока, ТМ Удобряша</x:v>
      </x:c>
      <x:c r="D118" s="6" t="str">
        <x:v>Средство для растений/почвы</x:v>
      </x:c>
      <x:c r="E118" s="6" t="str">
        <x:v>Розничный каталог</x:v>
      </x:c>
      <x:c r="F118" s="6" t="str">
        <x:v>C18</x:v>
      </x:c>
      <x:c r="G118" s="6" t="str">
        <x:v>рыбная мука, костная мука, жмых подсолнечника, кровяная мука, жмых горчицы (Sinapis), перьевая мука , комплекс полезных почвенных микроорганизмов. Содержание элементов: · макроэлементы: азот (N) 7%, фосфор (P) 7%, калий (К) 8%, сера (S), хелатные формы кальция (Ca) и магния (Mg); · микроэлементы: марганец (Mn), железо (Fe), цинк (Zn), медь (Cu) в хелатных формах, йод (I) фтор (F), натрий (Na). А также аминокислоты, витамины… (сокращено)</x:v>
      </x:c>
      <x:c r="H118" s="6" t="str">
        <x:v>Есть сведения; см. ограничения</x:v>
      </x:c>
      <x:c r="I118" s="6" t="str">
        <x:v>См. карточку</x:v>
      </x:c>
      <x:c r="J118" s="12" t="n">
        <x:v>1</x:v>
      </x:c>
      <x:c r="K118" s="6" t="str">
        <x:v>См. коды и ограничения на листе «Сопоставления»</x:v>
      </x:c>
      <x:c r="L118" s="6"/>
      <x:c r="M118" s="13" t="str">
        <x:v>https://bio-kompleks.ru/catalog/vsya_produktsiya/bio_kompleks_udobrenie_organicheskoe_dlya_luka_i_chesnoka_tm_udobryasha/</x:v>
      </x:c>
      <x:c r="N118" s="13"/>
    </x:row>
    <x:row r="119" ht="124" customHeight="1">
      <x:c r="A119" s="9" t="str">
        <x:v>P0114</x:v>
      </x:c>
      <x:c r="B119" s="9" t="str">
        <x:v>Био-комплекс</x:v>
      </x:c>
      <x:c r="C119" s="9" t="str">
        <x:v>БИО-комплекс Удобрение органическое для огурцов и кабачков, ТМ Удобряша</x:v>
      </x:c>
      <x:c r="D119" s="9" t="str">
        <x:v>Средство для растений/почвы</x:v>
      </x:c>
      <x:c r="E119" s="9" t="str">
        <x:v>Розничный каталог</x:v>
      </x:c>
      <x:c r="F119" s="9" t="str">
        <x:v>C03</x:v>
      </x:c>
      <x:c r="G119" s="9" t="str">
        <x:v>Рыбная мука, костная мука, кровяная мука, жмых подсолнечника, бурая морская водоросль (ламинария), комплекс полезных почвенных микроорганизмов. Содержание элементов: · макроэлементы: азот (N) 7%, фосфор (P) 7%, калий (К) 8%, сера (S), хелатные формы кальция (Ca) и магния (Mg); · микроэлементы: марганец (Mn), железо (Fe), бор (B), медь (Cu), цинк (Zn) в хелатных формах, молибден (Mo), хром (Cr), йод (I), кремний (Si), фтор… (сокращено)</x:v>
      </x:c>
      <x:c r="H119" s="9" t="str">
        <x:v>Есть сведения; см. ограничения</x:v>
      </x:c>
      <x:c r="I119" s="9" t="str">
        <x:v>См. карточку</x:v>
      </x:c>
      <x:c r="J119" s="10" t="n">
        <x:v>1</x:v>
      </x:c>
      <x:c r="K119" s="9" t="str">
        <x:v>См. коды и ограничения на листе «Сопоставления»</x:v>
      </x:c>
      <x:c r="L119" s="9"/>
      <x:c r="M119" s="11" t="str">
        <x:v>https://bio-kompleks.ru/catalog/vsya_produktsiya/bio_kompleks_udobrenie_organicheskoe_dlya_ogurtsov_i_kabachkov_tm_udobryasha/</x:v>
      </x:c>
      <x:c r="N119" s="11"/>
    </x:row>
    <x:row r="120" ht="138" customHeight="1">
      <x:c r="A120" s="6" t="str">
        <x:v>P0115</x:v>
      </x:c>
      <x:c r="B120" s="6" t="str">
        <x:v>Био-комплекс</x:v>
      </x:c>
      <x:c r="C120" s="6" t="str">
        <x:v>БИО-комплекс Удобрение органическое для томатов, перцев и баклажанов, ТМ Удобряша</x:v>
      </x:c>
      <x:c r="D120" s="6" t="str">
        <x:v>Средство для растений/почвы</x:v>
      </x:c>
      <x:c r="E120" s="6" t="str">
        <x:v>Розничный каталог</x:v>
      </x:c>
      <x:c r="F120" s="6" t="str">
        <x:v>C02</x:v>
      </x:c>
      <x:c r="G120" s="6" t="str">
        <x:v>Рыбная мука, костная мука, жмых подсолнечника, жмых проса волосовидного, комплекс полезных почвенных микроорганизмов. Содержание элементов: · макроэлементы: азот ( N ) 5%, фосфор ( P ) 7%, калий (К) 12%, сера ( S ), хелатные формы кальция ( Ca ) и магния ( Mg ); · микроэлементы: марганец ( Mn ), железо ( Fe ), бор ( B ), медь ( Cu ), цинк ( Zn ) в хелатных формах, хром ( Cr ), йод ( I ), кремний ( Si ), кобальт ( Co ), натрий… (сокращено)</x:v>
      </x:c>
      <x:c r="H120" s="6" t="str">
        <x:v>Есть сведения; см. ограничения</x:v>
      </x:c>
      <x:c r="I120" s="6" t="str">
        <x:v>См. карточку</x:v>
      </x:c>
      <x:c r="J120" s="12" t="n">
        <x:v>1</x:v>
      </x:c>
      <x:c r="K120" s="6" t="str">
        <x:v>См. коды и ограничения на листе «Сопоставления»</x:v>
      </x:c>
      <x:c r="L120" s="6"/>
      <x:c r="M120" s="13" t="str">
        <x:v>https://bio-kompleks.ru/catalog/vsya_produktsiya/bio_kompleks_udobrenie_organicheskoe_dlya_tomatov_pertsev_i_baklazhanov_tm_udobryasha/</x:v>
      </x:c>
      <x:c r="N120" s="13"/>
    </x:row>
    <x:row r="121" ht="124" customHeight="1">
      <x:c r="A121" s="9" t="str">
        <x:v>P0116</x:v>
      </x:c>
      <x:c r="B121" s="9" t="str">
        <x:v>Био-комплекс</x:v>
      </x:c>
      <x:c r="C121" s="9" t="str">
        <x:v>БИО-комплекс Удобрение органическое для цветов, ТМ Удобряша</x:v>
      </x:c>
      <x:c r="D121" s="9" t="str">
        <x:v>Средство для растений/почвы</x:v>
      </x:c>
      <x:c r="E121" s="9" t="str">
        <x:v>Розничный каталог</x:v>
      </x:c>
      <x:c r="F121" s="9" t="str">
        <x:v>C17</x:v>
      </x:c>
      <x:c r="G121" s="9" t="str">
        <x:v>рыбная мука, костная мука, кровяная мука, жмых подсолнечника, янтарная кислота, комплекс полезных почвенных микроорганизмов. Содержание элементов: · макроэлементы: азот ( N ) 7%, фосфор ( P ) 7%, калий (К) 8%, сера ( S ), хелатные формы кальция ( Ca ) и магния ( Mg ); · микроэлементы: марганец ( Mn ), железо ( Fe ), бор ( B ), медь ( Cu ), цинк ( Zn ) в хелатных формах, молибден ( Mo ). А также комплекс аминокислот, витамины .</x:v>
      </x:c>
      <x:c r="H121" s="9" t="str">
        <x:v>Есть сведения; см. ограничения</x:v>
      </x:c>
      <x:c r="I121" s="9" t="str">
        <x:v>См. карточку</x:v>
      </x:c>
      <x:c r="J121" s="10" t="n">
        <x:v>1</x:v>
      </x:c>
      <x:c r="K121" s="9" t="str">
        <x:v>См. коды и ограничения на листе «Сопоставления»</x:v>
      </x:c>
      <x:c r="L121" s="9"/>
      <x:c r="M121" s="11" t="str">
        <x:v>https://bio-kompleks.ru/catalog/vsya_produktsiya/bio_kompleks_udobrenie_organicheskoe_dlya_tsvetov_tm_udobryasha/</x:v>
      </x:c>
      <x:c r="N121" s="11"/>
    </x:row>
    <x:row r="122" ht="124" customHeight="1">
      <x:c r="A122" s="6" t="str">
        <x:v>P0117</x:v>
      </x:c>
      <x:c r="B122" s="6" t="str">
        <x:v>Био-комплекс</x:v>
      </x:c>
      <x:c r="C122" s="6" t="str">
        <x:v>БИО-комплекс Удобрение органическое для ягод, ТМ Удобряша</x:v>
      </x:c>
      <x:c r="D122" s="6" t="str">
        <x:v>Средство для растений/почвы</x:v>
      </x:c>
      <x:c r="E122" s="6" t="str">
        <x:v>Розничный каталог</x:v>
      </x:c>
      <x:c r="F122" s="6" t="str">
        <x:v>C05</x:v>
      </x:c>
      <x:c r="G122" s="6" t="str">
        <x:v>Рыбная мука, костная мука, жмых подсолнечника, порошок микроводоросли Хлорелла, комплекс полезных почвенных микроорганизмов. Содержание элементов: · макроэлементы: азот ( N ) 5%, фосфор ( P ) 9%, калий (К) 9%, сера ( S ), хелатные формы кальция ( Ca ) и магния ( Mg ); · микроэлементы: марганец ( Mn ), железо ( Fe ), бор ( B ), медь ( Cu ), цинк ( Zn ) в хелатных формах, йод ( I ), фтор ( F ), натрий ( Na ). А также 40… (сокращено)</x:v>
      </x:c>
      <x:c r="H122" s="6" t="str">
        <x:v>Есть сведения; см. ограничения</x:v>
      </x:c>
      <x:c r="I122" s="6" t="str">
        <x:v>См. карточку</x:v>
      </x:c>
      <x:c r="J122" s="12" t="n">
        <x:v>1</x:v>
      </x:c>
      <x:c r="K122" s="6" t="str">
        <x:v>См. коды и ограничения на листе «Сопоставления»</x:v>
      </x:c>
      <x:c r="L122" s="6"/>
      <x:c r="M122" s="13" t="str">
        <x:v>https://bio-kompleks.ru/catalog/vsya_produktsiya/bio_kompleks_udobrenie_organicheskoe_dlya_yagod_tm_udobryasha/</x:v>
      </x:c>
      <x:c r="N122" s="13"/>
    </x:row>
    <x:row r="123" ht="124" customHeight="1">
      <x:c r="A123" s="9" t="str">
        <x:v>P0118</x:v>
      </x:c>
      <x:c r="B123" s="9" t="str">
        <x:v>Био-комплекс</x:v>
      </x:c>
      <x:c r="C123" s="9" t="str">
        <x:v>БИО-комплекс Удобрение органическое Морское ассорти, ТМ Удобряша</x:v>
      </x:c>
      <x:c r="D123" s="9" t="str">
        <x:v>Средство для растений/почвы</x:v>
      </x:c>
      <x:c r="E123" s="9" t="str">
        <x:v>Розничный каталог</x:v>
      </x:c>
      <x:c r="F123" s="9" t="str">
        <x:v>G24</x:v>
      </x:c>
      <x:c r="G123" s="9" t="str">
        <x:v>мука из морских беспозвоночных (моллюски, крабы, ракушки, морские гребешки и пр.) и морских водорослей с полезными почвенными микроорганизмами. Содержание элементов: · макроэлементы: азот (N) 5%, фосфор (P) 20%, калий (К) 7%, сера (S), хелатные формы кальция (Ca) 16,5% и магния (Mg); · микроэлементы: марганец (Mn), железо (Fe), бор (B), медь (Cu), цинк (Zn) в хелатных формах, йод (J), фтор (F), натрий (Na). А также 19… (сокращено)</x:v>
      </x:c>
      <x:c r="H123" s="9" t="str">
        <x:v>Есть сведения; см. ограничения</x:v>
      </x:c>
      <x:c r="I123" s="9" t="str">
        <x:v>См. карточку</x:v>
      </x:c>
      <x:c r="J123" s="10" t="n">
        <x:v>1</x:v>
      </x:c>
      <x:c r="K123" s="9" t="str">
        <x:v>См. коды и ограничения на листе «Сопоставления»</x:v>
      </x:c>
      <x:c r="L123" s="9"/>
      <x:c r="M123" s="11" t="str">
        <x:v>https://bio-kompleks.ru/catalog/vsya_produktsiya/bio_kompleks_udobrenie_organicheskoe_morskoe_assorti_tm_udobryasha/</x:v>
      </x:c>
      <x:c r="N123" s="11"/>
    </x:row>
    <x:row r="124" ht="124" customHeight="1">
      <x:c r="A124" s="6" t="str">
        <x:v>P0119</x:v>
      </x:c>
      <x:c r="B124" s="6" t="str">
        <x:v>Био-комплекс</x:v>
      </x:c>
      <x:c r="C124" s="6" t="str">
        <x:v>БИО-комплекс Удобрение органическое Осеннее, ТМ Удобряша</x:v>
      </x:c>
      <x:c r="D124" s="6" t="str">
        <x:v>Средство для растений/почвы</x:v>
      </x:c>
      <x:c r="E124" s="6" t="str">
        <x:v>Розничный каталог</x:v>
      </x:c>
      <x:c r="F124" s="6" t="str">
        <x:v>C21</x:v>
      </x:c>
      <x:c r="G124" s="6" t="str">
        <x:v>костная мука, рыбная мука, жмых подсолнечника, водоросль спирулина, комплекс полезных почвенных микроорганизмов. Химический состав компонентов удобрения: · Макроэлементы: азот (N) 1%, фосфор (P) 7%, калий (К) 10%, сера (S), хелатные формы кальция (Ca) и магния (Mg); · Микроэлементы: марганец (Mn), железо (Fe), бор (B), медь (Cu), цинк (Zn) в хелатных формах, молибден (Mo), хром (Cr), йод (J), фтор (F), кобальт (Co), натрий… (сокращено)</x:v>
      </x:c>
      <x:c r="H124" s="6" t="str">
        <x:v>Есть сведения; см. ограничения</x:v>
      </x:c>
      <x:c r="I124" s="6" t="str">
        <x:v>См. карточку</x:v>
      </x:c>
      <x:c r="J124" s="12" t="n">
        <x:v>1</x:v>
      </x:c>
      <x:c r="K124" s="6" t="str">
        <x:v>См. коды и ограничения на листе «Сопоставления»</x:v>
      </x:c>
      <x:c r="L124" s="6"/>
      <x:c r="M124" s="13" t="str">
        <x:v>https://bio-kompleks.ru/catalog/vsya_produktsiya/bio_kompleks_udobrenie_organicheskoe_osennee_tm_udobryasha/</x:v>
      </x:c>
      <x:c r="N124" s="13"/>
    </x:row>
    <x:row r="125" ht="124" customHeight="1">
      <x:c r="A125" s="9" t="str">
        <x:v>P0120</x:v>
      </x:c>
      <x:c r="B125" s="9" t="str">
        <x:v>Био-комплекс</x:v>
      </x:c>
      <x:c r="C125" s="9" t="str">
        <x:v>БИО-комплекс Удобрение органическое Универсальное, ТМ Удобряша</x:v>
      </x:c>
      <x:c r="D125" s="9" t="str">
        <x:v>Средство для растений/почвы</x:v>
      </x:c>
      <x:c r="E125" s="9" t="str">
        <x:v>Розничный каталог</x:v>
      </x:c>
      <x:c r="F125" s="9" t="str">
        <x:v>C01</x:v>
      </x:c>
      <x:c r="G125" s="9" t="str">
        <x:v>рыбная мука, костная мука, кровяная мука, жмых подсолнечника, экстракт крапивы, комплекс полезных почвенных микроорганизмов. Содержание элементов: · макроэлементы: азот (N) 6%, фосфор (P) 7%, калий (К) 9%, сера (S), хелатные формы кальция (Ca) и магния (Mg); · микроэлементы: марганец (Mn), железо (Fe), бор (B), медь (Cu), цинк (Zn) в хелатных формах. А также 13 аминокислот, витамины С, Е и К, каротин, витамины группы В,… (сокращено)</x:v>
      </x:c>
      <x:c r="H125" s="9" t="str">
        <x:v>Есть сведения; см. ограничения</x:v>
      </x:c>
      <x:c r="I125" s="9" t="str">
        <x:v>См. карточку</x:v>
      </x:c>
      <x:c r="J125" s="10" t="n">
        <x:v>1</x:v>
      </x:c>
      <x:c r="K125" s="9" t="str">
        <x:v>См. коды и ограничения на листе «Сопоставления»</x:v>
      </x:c>
      <x:c r="L125" s="9"/>
      <x:c r="M125" s="11" t="str">
        <x:v>https://bio-kompleks.ru/catalog/vsya_produktsiya/bio_kompleks_udobrenie_organicheskoe_universalnoe_tm_udobryasha/</x:v>
      </x:c>
      <x:c r="N125" s="11"/>
    </x:row>
    <x:row r="126" ht="68" customHeight="1">
      <x:c r="A126" s="6" t="str">
        <x:v>P0121</x:v>
      </x:c>
      <x:c r="B126" s="6" t="str">
        <x:v>Био-комплекс</x:v>
      </x:c>
      <x:c r="C126" s="6" t="str">
        <x:v>БИО-комплекс Удобрение Пышное цветение, Секрет счастья</x:v>
      </x:c>
      <x:c r="D126" s="6" t="str">
        <x:v>Средство для растений/почвы</x:v>
      </x:c>
      <x:c r="E126" s="6" t="str">
        <x:v>Розничный каталог</x:v>
      </x:c>
      <x:c r="F126" s="6" t="str">
        <x:v>C17</x:v>
      </x:c>
      <x:c r="G126" s="6" t="str">
        <x:v>макроэлементы (азот, фосфор, калий, магний, сера), 10 микроэлементов (марганец, бор, железо, цинк, медь, натрий, молибден, кремний и т.д.), витамины, углеводы, аминокислоты.</x:v>
      </x:c>
      <x:c r="H126" s="6" t="str">
        <x:v>Есть сведения; см. ограничения</x:v>
      </x:c>
      <x:c r="I126" s="6" t="str">
        <x:v>См. карточку</x:v>
      </x:c>
      <x:c r="J126" s="12" t="n">
        <x:v>1</x:v>
      </x:c>
      <x:c r="K126" s="6" t="str">
        <x:v>См. коды и ограничения на листе «Сопоставления»</x:v>
      </x:c>
      <x:c r="L126" s="6"/>
      <x:c r="M126" s="13" t="str">
        <x:v>https://bio-kompleks.ru/catalog/vsya_produktsiya/bio_kompleks_udobrenie_pyshnoe_tsvetenie_sekret_schastya_75_g_16/</x:v>
      </x:c>
      <x:c r="N126" s="13"/>
    </x:row>
    <x:row r="127" ht="68" customHeight="1">
      <x:c r="A127" s="9" t="str">
        <x:v>P0122</x:v>
      </x:c>
      <x:c r="B127" s="9" t="str">
        <x:v>Био-комплекс</x:v>
      </x:c>
      <x:c r="C127" s="9" t="str">
        <x:v>БИО-комплекс Фосфоритная мука</x:v>
      </x:c>
      <x:c r="D127" s="9" t="str">
        <x:v>Средство для растений/почвы</x:v>
      </x:c>
      <x:c r="E127" s="9" t="str">
        <x:v>Розничный каталог</x:v>
      </x:c>
      <x:c r="F127" s="9" t="str">
        <x:v>G27</x:v>
      </x:c>
      <x:c r="G127" s="9" t="str">
        <x:v>Р2О5- не менее 15,0%.</x:v>
      </x:c>
      <x:c r="H127" s="9" t="str">
        <x:v>Есть сведения; см. ограничения</x:v>
      </x:c>
      <x:c r="I127" s="9" t="str">
        <x:v>Сухой продукт</x:v>
      </x:c>
      <x:c r="J127" s="10" t="n">
        <x:v>1</x:v>
      </x:c>
      <x:c r="K127" s="9" t="str">
        <x:v>См. коды и ограничения на листе «Сопоставления»</x:v>
      </x:c>
      <x:c r="L127" s="9"/>
      <x:c r="M127" s="11" t="str">
        <x:v>https://bio-kompleks.ru/catalog/vsya_produktsiya/bio_kompleks_fosforitnaya_muka/</x:v>
      </x:c>
      <x:c r="N127" s="11"/>
    </x:row>
    <x:row r="128" ht="68" customHeight="1">
      <x:c r="A128" s="6" t="str">
        <x:v>P0123</x:v>
      </x:c>
      <x:c r="B128" s="6" t="str">
        <x:v>Био-комплекс</x:v>
      </x:c>
      <x:c r="C128" s="6" t="str">
        <x:v>БИО-комплекс Цветы БУМ</x:v>
      </x:c>
      <x:c r="D128" s="6" t="str">
        <x:v>Средство для растений/почвы</x:v>
      </x:c>
      <x:c r="E128" s="6" t="str">
        <x:v>Розничный каталог</x:v>
      </x:c>
      <x:c r="F128" s="6" t="str">
        <x:v>C17</x:v>
      </x:c>
      <x:c r="G128" s="6" t="str">
        <x:v>макроэлементы (азот, фосфор, калий), микроэлементы (кальций, магний, сера, железо, цинк, бор, марганец, молибден и др.), витамины, углеводы, аминокислоты.</x:v>
      </x:c>
      <x:c r="H128" s="6" t="str">
        <x:v>Есть сведения; см. ограничения</x:v>
      </x:c>
      <x:c r="I128" s="6" t="str">
        <x:v>См. карточку</x:v>
      </x:c>
      <x:c r="J128" s="12" t="n">
        <x:v>1</x:v>
      </x:c>
      <x:c r="K128" s="6" t="str">
        <x:v>См. коды и ограничения на листе «Сопоставления»</x:v>
      </x:c>
      <x:c r="L128" s="6"/>
      <x:c r="M128" s="13" t="str">
        <x:v>https://bio-kompleks.ru/catalog/vsya_produktsiya/bio_kompleks_tsvety_bum/</x:v>
      </x:c>
      <x:c r="N128" s="13"/>
    </x:row>
    <x:row r="129" ht="68" customHeight="1">
      <x:c r="A129" s="9" t="str">
        <x:v>P0124</x:v>
      </x:c>
      <x:c r="B129" s="9" t="str">
        <x:v>Био-комплекс</x:v>
      </x:c>
      <x:c r="C129" s="9" t="str">
        <x:v>БИО-комплекс Цеолит</x:v>
      </x:c>
      <x:c r="D129" s="9" t="str">
        <x:v>Средство для растений/почвы</x:v>
      </x:c>
      <x:c r="E129" s="9" t="str">
        <x:v>Розничный каталог</x:v>
      </x:c>
      <x:c r="F129" s="9" t="str">
        <x:v>G36</x:v>
      </x:c>
      <x:c r="G129" s="9" t="str">
        <x:v>Количественный состав в прочитанном тексте не найден; см. карточку</x:v>
      </x:c>
      <x:c r="H129" s="9" t="str">
        <x:v>Полного состава нет в тексте</x:v>
      </x:c>
      <x:c r="I129" s="9" t="str">
        <x:v>См. карточку</x:v>
      </x:c>
      <x:c r="J129" s="10" t="n">
        <x:v>1</x:v>
      </x:c>
      <x:c r="K129" s="9" t="str">
        <x:v>См. коды и ограничения на листе «Сопоставления»</x:v>
      </x:c>
      <x:c r="L129" s="9"/>
      <x:c r="M129" s="11" t="str">
        <x:v>https://bio-kompleks.ru/catalog/vsya_produktsiya/bio_kompleks_tseolit/</x:v>
      </x:c>
      <x:c r="N129" s="11"/>
    </x:row>
    <x:row r="130" ht="68" customHeight="1">
      <x:c r="A130" s="6" t="str">
        <x:v>P0125</x:v>
      </x:c>
      <x:c r="B130" s="6" t="str">
        <x:v>Био-комплекс</x:v>
      </x:c>
      <x:c r="C130" s="6" t="str">
        <x:v>БИО-комплекс ЭКБИ 1 для семян и корней рассады</x:v>
      </x:c>
      <x:c r="D130" s="6" t="str">
        <x:v>Средство для растений/почвы</x:v>
      </x:c>
      <x:c r="E130" s="6" t="str">
        <x:v>Розничный каталог</x:v>
      </x:c>
      <x:c r="F130" s="6" t="str">
        <x:v>G10; G40</x:v>
      </x:c>
      <x:c r="G130" s="6" t="str">
        <x:v>Ризобакт, марка РЖФ. Объем: 50мл</x:v>
      </x:c>
      <x:c r="H130" s="6" t="str">
        <x:v>Есть сведения; см. ограничения</x:v>
      </x:c>
      <x:c r="I130" s="6" t="str">
        <x:v>См. карточку</x:v>
      </x:c>
      <x:c r="J130" s="12" t="n">
        <x:v>1</x:v>
      </x:c>
      <x:c r="K130" s="6" t="str">
        <x:v>См. коды и ограничения на листе «Сопоставления»</x:v>
      </x:c>
      <x:c r="L130" s="6"/>
      <x:c r="M130" s="13" t="str">
        <x:v>https://bio-kompleks.ru/catalog/vsya_produktsiya/bio_kompleks_ekbi_1_dlya_semyan_i_korney_rassady/</x:v>
      </x:c>
      <x:c r="N130" s="13"/>
    </x:row>
    <x:row r="131" ht="68" customHeight="1">
      <x:c r="A131" s="9" t="str">
        <x:v>P0126</x:v>
      </x:c>
      <x:c r="B131" s="9" t="str">
        <x:v>Био-комплекс</x:v>
      </x:c>
      <x:c r="C131" s="9" t="str">
        <x:v>БИО-комплекс ЭКБИ 2 для клубней, луковиц и корней саженцев</x:v>
      </x:c>
      <x:c r="D131" s="9" t="str">
        <x:v>Средство для растений/почвы</x:v>
      </x:c>
      <x:c r="E131" s="9" t="str">
        <x:v>Розничный каталог</x:v>
      </x:c>
      <x:c r="F131" s="9" t="str">
        <x:v>G10</x:v>
      </x:c>
      <x:c r="G131" s="9" t="str">
        <x:v>Ризобакт, марка РЖФ. Объем: 50 мл</x:v>
      </x:c>
      <x:c r="H131" s="9" t="str">
        <x:v>Есть сведения; см. ограничения</x:v>
      </x:c>
      <x:c r="I131" s="9" t="str">
        <x:v>См. карточку</x:v>
      </x:c>
      <x:c r="J131" s="10" t="n">
        <x:v>1</x:v>
      </x:c>
      <x:c r="K131" s="9" t="str">
        <x:v>См. коды и ограничения на листе «Сопоставления»</x:v>
      </x:c>
      <x:c r="L131" s="9"/>
      <x:c r="M131" s="11" t="str">
        <x:v>https://bio-kompleks.ru/catalog/vsya_produktsiya/bio_kompleks_ekbi_2_dlya_klubney_lukovits_i_korney_sazhentsev/</x:v>
      </x:c>
      <x:c r="N131" s="11"/>
    </x:row>
    <x:row r="132" ht="68" customHeight="1">
      <x:c r="A132" s="6" t="str">
        <x:v>P0127</x:v>
      </x:c>
      <x:c r="B132" s="6" t="str">
        <x:v>Био-комплекс</x:v>
      </x:c>
      <x:c r="C132" s="6" t="str">
        <x:v>БИО-комплекс ЭКБИ 3 для садовых, огородных и домашних растений</x:v>
      </x:c>
      <x:c r="D132" s="6" t="str">
        <x:v>Средство для растений/почвы</x:v>
      </x:c>
      <x:c r="E132" s="6" t="str">
        <x:v>Розничный каталог</x:v>
      </x:c>
      <x:c r="F132" s="6" t="str">
        <x:v>G41</x:v>
      </x:c>
      <x:c r="G132" s="6" t="str">
        <x:v>Ризобакт, марка ФЖФ. Объем: 50 мл</x:v>
      </x:c>
      <x:c r="H132" s="6" t="str">
        <x:v>Есть сведения; см. ограничения</x:v>
      </x:c>
      <x:c r="I132" s="6" t="str">
        <x:v>См. карточку</x:v>
      </x:c>
      <x:c r="J132" s="12" t="n">
        <x:v>1</x:v>
      </x:c>
      <x:c r="K132" s="6" t="str">
        <x:v>См. коды и ограничения на листе «Сопоставления»</x:v>
      </x:c>
      <x:c r="L132" s="6"/>
      <x:c r="M132" s="13" t="str">
        <x:v>https://bio-kompleks.ru/catalog/vsya_produktsiya/bio_kompleks_ekbi_3_dlya_sadovykh_ogorodnykh_i_domashnikh_rasteniy/</x:v>
      </x:c>
      <x:c r="N132" s="13"/>
    </x:row>
    <x:row r="133" ht="68" customHeight="1">
      <x:c r="A133" s="9" t="str">
        <x:v>P0128</x:v>
      </x:c>
      <x:c r="B133" s="9" t="str">
        <x:v>Био-комплекс</x:v>
      </x:c>
      <x:c r="C133" s="9" t="str">
        <x:v>БИО-комплекс ЭКБИ 4 для листвы и стволов кустарников и деревьев</x:v>
      </x:c>
      <x:c r="D133" s="9" t="str">
        <x:v>Средство для растений/почвы</x:v>
      </x:c>
      <x:c r="E133" s="9" t="str">
        <x:v>Розничный каталог</x:v>
      </x:c>
      <x:c r="F133" s="9" t="str">
        <x:v>G41</x:v>
      </x:c>
      <x:c r="G133" s="9" t="str">
        <x:v>Ризобакт, марка ФЖФ. Объем: 50мл</x:v>
      </x:c>
      <x:c r="H133" s="9" t="str">
        <x:v>Есть сведения; см. ограничения</x:v>
      </x:c>
      <x:c r="I133" s="9" t="str">
        <x:v>См. карточку</x:v>
      </x:c>
      <x:c r="J133" s="10" t="n">
        <x:v>1</x:v>
      </x:c>
      <x:c r="K133" s="9" t="str">
        <x:v>См. коды и ограничения на листе «Сопоставления»</x:v>
      </x:c>
      <x:c r="L133" s="9"/>
      <x:c r="M133" s="11" t="str">
        <x:v>https://bio-kompleks.ru/catalog/vsya_produktsiya/bio_kompleks_ekbi_4_dlya_listvy_i_stvolov_kustarnikov_i_derevev/</x:v>
      </x:c>
      <x:c r="N133" s="11"/>
    </x:row>
    <x:row r="134" ht="96" customHeight="1">
      <x:c r="A134" s="6" t="str">
        <x:v>P0129</x:v>
      </x:c>
      <x:c r="B134" s="6" t="str">
        <x:v>Био-комплекс</x:v>
      </x:c>
      <x:c r="C134" s="6" t="str">
        <x:v>БИО-комплекс Экстракт Кедра</x:v>
      </x:c>
      <x:c r="D134" s="6" t="str">
        <x:v>Средство для растений/почвы</x:v>
      </x:c>
      <x:c r="E134" s="6" t="str">
        <x:v>Розничный каталог</x:v>
      </x:c>
      <x:c r="F134" s="6" t="str">
        <x:v>G17; G25</x:v>
      </x:c>
      <x:c r="G134" s="6" t="str">
        <x:v>вода, фенолокислоты, терпеноиды, флавоноиды, лигнаны, фитостерины, витамины A (α- и β-каротин, лютеин, ксантофиллы), С, D, Е, группы В, макроэлементы (K, Mg, Ca, P, S), микроэлементы (Al, Si, Mn, Fe, Cu, Co, Zn, Na и др.) большое количество биологически активных веществ (аминокислоты, фитогормоны, хлорофилл и др.).</x:v>
      </x:c>
      <x:c r="H134" s="6" t="str">
        <x:v>Есть сведения; см. ограничения</x:v>
      </x:c>
      <x:c r="I134" s="6" t="str">
        <x:v>См. карточку</x:v>
      </x:c>
      <x:c r="J134" s="12" t="n">
        <x:v>1</x:v>
      </x:c>
      <x:c r="K134" s="6" t="str">
        <x:v>См. коды и ограничения на листе «Сопоставления»</x:v>
      </x:c>
      <x:c r="L134" s="6"/>
      <x:c r="M134" s="13" t="str">
        <x:v>https://bio-kompleks.ru/catalog/vsya_produktsiya/bio_kompleks_ekstrakt_kedra_/</x:v>
      </x:c>
      <x:c r="N134" s="13"/>
    </x:row>
    <x:row r="135" ht="82" customHeight="1">
      <x:c r="A135" s="9" t="str">
        <x:v>P0130</x:v>
      </x:c>
      <x:c r="B135" s="9" t="str">
        <x:v>Био-комплекс</x:v>
      </x:c>
      <x:c r="C135" s="9" t="str">
        <x:v>БИО-комплекс Экстракт Хвои</x:v>
      </x:c>
      <x:c r="D135" s="9" t="str">
        <x:v>Средство для растений/почвы</x:v>
      </x:c>
      <x:c r="E135" s="9" t="str">
        <x:v>Розничный каталог</x:v>
      </x:c>
      <x:c r="F135" s="9" t="str">
        <x:v>G17; G25</x:v>
      </x:c>
      <x:c r="G135" s="9" t="str">
        <x:v>вода, про-витамины А (α- и β-каротин, лютеин, ксантофиллы), фитонциды, фитостерины, витамины Е, К, С, B1, B2, B6, РР, Н, микро- и макроэлементы (Na, Са, К, Мn, Fe, Zn и др.), хлорофилл, флавоноиды, лигнаны, фитогормоны, аминокислоты и др.</x:v>
      </x:c>
      <x:c r="H135" s="9" t="str">
        <x:v>Есть сведения; см. ограничения</x:v>
      </x:c>
      <x:c r="I135" s="9" t="str">
        <x:v>См. карточку</x:v>
      </x:c>
      <x:c r="J135" s="10" t="n">
        <x:v>1</x:v>
      </x:c>
      <x:c r="K135" s="9" t="str">
        <x:v>См. коды и ограничения на листе «Сопоставления»</x:v>
      </x:c>
      <x:c r="L135" s="9"/>
      <x:c r="M135" s="11" t="str">
        <x:v>https://bio-kompleks.ru/catalog/vsya_produktsiya/bio_kompleks_ekstrakt_khvoi_/</x:v>
      </x:c>
      <x:c r="N135" s="11"/>
    </x:row>
    <x:row r="136" ht="68" customHeight="1">
      <x:c r="A136" s="6" t="str">
        <x:v>P0131</x:v>
      </x:c>
      <x:c r="B136" s="6" t="str">
        <x:v>Био-комплекс</x:v>
      </x:c>
      <x:c r="C136" s="6" t="str">
        <x:v>БИО-комплекс Ягоды БУМ</x:v>
      </x:c>
      <x:c r="D136" s="6" t="str">
        <x:v>Средство для растений/почвы</x:v>
      </x:c>
      <x:c r="E136" s="6" t="str">
        <x:v>Розничный каталог</x:v>
      </x:c>
      <x:c r="F136" s="6" t="str">
        <x:v>C05</x:v>
      </x:c>
      <x:c r="G136" s="6" t="str">
        <x:v>макроэлементы (азот, фосфор, калий), микроэлементы (кальций, магний, сера, железо, цинк, бор, марганец, молибден и др.), витамины, углеводы, аминокислоты.</x:v>
      </x:c>
      <x:c r="H136" s="6" t="str">
        <x:v>Есть сведения; см. ограничения</x:v>
      </x:c>
      <x:c r="I136" s="6" t="str">
        <x:v>См. карточку</x:v>
      </x:c>
      <x:c r="J136" s="12" t="n">
        <x:v>1</x:v>
      </x:c>
      <x:c r="K136" s="6" t="str">
        <x:v>См. коды и ограничения на листе «Сопоставления»</x:v>
      </x:c>
      <x:c r="L136" s="6"/>
      <x:c r="M136" s="13" t="str">
        <x:v>https://bio-kompleks.ru/catalog/vsya_produktsiya/bio_kompleks_yagody_bum/</x:v>
      </x:c>
      <x:c r="N136" s="13"/>
    </x:row>
    <x:row r="137" ht="124" customHeight="1">
      <x:c r="A137" s="9" t="str">
        <x:v>P0132</x:v>
      </x:c>
      <x:c r="B137" s="9" t="str">
        <x:v>Био-комплекс</x:v>
      </x:c>
      <x:c r="C137" s="9" t="str">
        <x:v>БИО-комплекс, ТМ Листория, Виноград</x:v>
      </x:c>
      <x:c r="D137" s="9" t="str">
        <x:v>Средство для растений/почвы</x:v>
      </x:c>
      <x:c r="E137" s="9" t="str">
        <x:v>Розничный каталог</x:v>
      </x:c>
      <x:c r="F137" s="9" t="str">
        <x:v>G35; C20</x:v>
      </x:c>
      <x:c r="G137" s="9" t="str">
        <x:v>фосфор (Р2О5) 40%, калий (К2О) 25%, магний (MgO) 2%, бор (В) 2%, пролонгированный прилипатель. Пролонгированный прилипатель – адъювант с инновационным механизмом транспортировки питательных компонентов внутрь листа - способствует равномерному распределению макро- и микроэлементов по листу - образует дышащую, несмываемую дождем питательную пленку - обеспечивает постепенное эффективное проникновение питательных компонентов в… (сокращено)</x:v>
      </x:c>
      <x:c r="H137" s="9" t="str">
        <x:v>Есть сведения; см. ограничения</x:v>
      </x:c>
      <x:c r="I137" s="9" t="str">
        <x:v>См. карточку</x:v>
      </x:c>
      <x:c r="J137" s="10" t="n">
        <x:v>1</x:v>
      </x:c>
      <x:c r="K137" s="9" t="str">
        <x:v>См. коды и ограничения на листе «Сопоставления»</x:v>
      </x:c>
      <x:c r="L137" s="9"/>
      <x:c r="M137" s="11" t="str">
        <x:v>https://bio-kompleks.ru/catalog/vsya_produktsiya/bio_kompleks_tm_listoriya_vinograd_professionalnoe_mineralnoe_udobrenie_npk_0_40_25/</x:v>
      </x:c>
      <x:c r="N137" s="11"/>
    </x:row>
    <x:row r="138" ht="138" customHeight="1">
      <x:c r="A138" s="6" t="str">
        <x:v>P0133</x:v>
      </x:c>
      <x:c r="B138" s="6" t="str">
        <x:v>Био-комплекс</x:v>
      </x:c>
      <x:c r="C138" s="6" t="str">
        <x:v>БИО-комплекс, ТМ Листория, Газон</x:v>
      </x:c>
      <x:c r="D138" s="6" t="str">
        <x:v>Средство для растений/почвы</x:v>
      </x:c>
      <x:c r="E138" s="6" t="str">
        <x:v>Розничный каталог</x:v>
      </x:c>
      <x:c r="F138" s="6" t="str">
        <x:v>G35; C10</x:v>
      </x:c>
      <x:c r="G138" s="6" t="str">
        <x:v>азот (N) 19%, фосфор (Р2О5) 19%, калий (К2О) 19%, магний (MgO) 2%, сера (S) 1,6%, бор (В) 0,01%, марганец (Mn) 0,04%, цинк (Z) 0,02%, медь (Cu) 0,005%, железо (Fe) 0,08%, молибден (Mo) 0,005%, пролонгированный прилипатель. Пролонгированный прилипатель – адъювант с инновационным механизмом транспортировки питательных компонентов внутрь листа - способствует равномерному распределению макро- и микроэлементов по листу - образует… (сокращено)</x:v>
      </x:c>
      <x:c r="H138" s="6" t="str">
        <x:v>Есть сведения; см. ограничения</x:v>
      </x:c>
      <x:c r="I138" s="6" t="str">
        <x:v>См. карточку</x:v>
      </x:c>
      <x:c r="J138" s="12" t="n">
        <x:v>1</x:v>
      </x:c>
      <x:c r="K138" s="6" t="str">
        <x:v>См. коды и ограничения на листе «Сопоставления»</x:v>
      </x:c>
      <x:c r="L138" s="6"/>
      <x:c r="M138" s="13" t="str">
        <x:v>https://bio-kompleks.ru/catalog/vsya_produktsiya/bio_kompleks_tm_listoriya_gazon_professionalnoe_mineralnoe_udobrenie_npk_19_19_19/</x:v>
      </x:c>
      <x:c r="N138" s="13"/>
    </x:row>
    <x:row r="139" ht="124" customHeight="1">
      <x:c r="A139" s="9" t="str">
        <x:v>P0134</x:v>
      </x:c>
      <x:c r="B139" s="9" t="str">
        <x:v>Био-комплекс</x:v>
      </x:c>
      <x:c r="C139" s="9" t="str">
        <x:v>БИО-комплекс, ТМ Листория, Овощи</x:v>
      </x:c>
      <x:c r="D139" s="9" t="str">
        <x:v>Средство для растений/почвы</x:v>
      </x:c>
      <x:c r="E139" s="9" t="str">
        <x:v>Розничный каталог</x:v>
      </x:c>
      <x:c r="F139" s="9" t="str">
        <x:v>G35; C25</x:v>
      </x:c>
      <x:c r="G139" s="9" t="str">
        <x:v>азот 6%, фосфор (Р2О5) 18%, калий (К2О) 37%, магний (MgO) 2%, бор (В) 0,02%, железо (Fe) 0,08%, марганец (Mn) 0,04%, цинк (Zn) 0,02%, медь (Cu) 0,005%, молибден (Mo) 0,005%, пролонгированный прилипатель. Пролонгированный прилипатель – адъювант с инновационным механизмом транспортировки питательных компонентов внутрь листа - способствует равномерному распределению макро- и микроэлементов по листу - образует дышащую,… (сокращено)</x:v>
      </x:c>
      <x:c r="H139" s="9" t="str">
        <x:v>Есть сведения; см. ограничения</x:v>
      </x:c>
      <x:c r="I139" s="9" t="str">
        <x:v>См. карточку</x:v>
      </x:c>
      <x:c r="J139" s="10" t="n">
        <x:v>1</x:v>
      </x:c>
      <x:c r="K139" s="9" t="str">
        <x:v>См. коды и ограничения на листе «Сопоставления»</x:v>
      </x:c>
      <x:c r="L139" s="9"/>
      <x:c r="M139" s="11" t="str">
        <x:v>https://bio-kompleks.ru/catalog/vsya_produktsiya/bio_kompleks_tm_listoriya_ovoshchi_professionalnoe_mineralnoe_udobrenie_npk_6_18_37/</x:v>
      </x:c>
      <x:c r="N139" s="11"/>
    </x:row>
    <x:row r="140" ht="124" customHeight="1">
      <x:c r="A140" s="6" t="str">
        <x:v>P0135</x:v>
      </x:c>
      <x:c r="B140" s="6" t="str">
        <x:v>Био-комплекс</x:v>
      </x:c>
      <x:c r="C140" s="6" t="str">
        <x:v>БИО-комплекс, ТМ Листория, ОСЕНЬ</x:v>
      </x:c>
      <x:c r="D140" s="6" t="str">
        <x:v>Средство для растений/почвы</x:v>
      </x:c>
      <x:c r="E140" s="6" t="str">
        <x:v>Розничный каталог</x:v>
      </x:c>
      <x:c r="F140" s="6" t="str">
        <x:v>G35; C21</x:v>
      </x:c>
      <x:c r="G140" s="6" t="str">
        <x:v>фосфор (Р2О5) 36%, калий (К2О) 24%, магний (MgO) 2%, бор (В) 2%, марганец (Mn) 1%, пролонгированный прилипатель. Пролонгированный прилипатель – адъювант с инновационным механизмом транспортировки питательных компонентов внутрь листа - способствует равномерному распределению макро- и микроэлементов по листу - образует дышащую, несмываемую дождем питательную пленку - обеспечивает постепенное эффективное проникновение… (сокращено)</x:v>
      </x:c>
      <x:c r="H140" s="6" t="str">
        <x:v>Есть сведения; см. ограничения</x:v>
      </x:c>
      <x:c r="I140" s="6" t="str">
        <x:v>См. карточку</x:v>
      </x:c>
      <x:c r="J140" s="12" t="n">
        <x:v>1</x:v>
      </x:c>
      <x:c r="K140" s="6" t="str">
        <x:v>См. коды и ограничения на листе «Сопоставления»</x:v>
      </x:c>
      <x:c r="L140" s="6"/>
      <x:c r="M140" s="13" t="str">
        <x:v>https://bio-kompleks.ru/catalog/vsya_produktsiya/bio_kompleks_tm_listoriya_osen_professionalnoe_mineralnoe_udobrenie_npk_0_36_24/</x:v>
      </x:c>
      <x:c r="N140" s="13"/>
    </x:row>
    <x:row r="141" ht="138" customHeight="1">
      <x:c r="A141" s="9" t="str">
        <x:v>P0136</x:v>
      </x:c>
      <x:c r="B141" s="9" t="str">
        <x:v>Био-комплекс</x:v>
      </x:c>
      <x:c r="C141" s="9" t="str">
        <x:v>БИО-комплекс, ТМ Листория, Плоды</x:v>
      </x:c>
      <x:c r="D141" s="9" t="str">
        <x:v>Средство для растений/почвы</x:v>
      </x:c>
      <x:c r="E141" s="9" t="str">
        <x:v>Розничный каталог</x:v>
      </x:c>
      <x:c r="F141" s="9" t="str">
        <x:v>G35</x:v>
      </x:c>
      <x:c r="G141" s="9" t="str">
        <x:v>азот 12%, фосфор (Р2О5) 5%, калий (К2О) 27%, кальций (CaО) 8%, бор (В) 0,1%, железо (Fe) 0,1%, марганец (Mn) 0,1%, цинк (Zn) 0,1%, пролонгированный прилипатель. Пролонгированный прилипатель – адъювант с инновационным механизмом транспортировки питательных компонентов внутрь листа - способствует равномерному распределению макро- и микроэлементов по листу - образует дышащую, несмываемую дождем питательную пленку - обеспечивает… (сокращено)</x:v>
      </x:c>
      <x:c r="H141" s="9" t="str">
        <x:v>Есть сведения; см. ограничения</x:v>
      </x:c>
      <x:c r="I141" s="9" t="str">
        <x:v>См. карточку</x:v>
      </x:c>
      <x:c r="J141" s="10" t="n">
        <x:v>1</x:v>
      </x:c>
      <x:c r="K141" s="9" t="str">
        <x:v>См. коды и ограничения на листе «Сопоставления»</x:v>
      </x:c>
      <x:c r="L141" s="9"/>
      <x:c r="M141" s="11" t="str">
        <x:v>https://bio-kompleks.ru/catalog/vsya_produktsiya/bio_kompleks_tm_listoriya_plody/</x:v>
      </x:c>
      <x:c r="N141" s="11"/>
    </x:row>
    <x:row r="142" ht="138" customHeight="1">
      <x:c r="A142" s="6" t="str">
        <x:v>P0137</x:v>
      </x:c>
      <x:c r="B142" s="6" t="str">
        <x:v>Био-комплекс</x:v>
      </x:c>
      <x:c r="C142" s="6" t="str">
        <x:v>БИО-комплекс, ТМ Листория, Рассада</x:v>
      </x:c>
      <x:c r="D142" s="6" t="str">
        <x:v>Средство для растений/почвы</x:v>
      </x:c>
      <x:c r="E142" s="6" t="str">
        <x:v>Розничный каталог</x:v>
      </x:c>
      <x:c r="F142" s="6" t="str">
        <x:v>G35; C04</x:v>
      </x:c>
      <x:c r="G142" s="6" t="str">
        <x:v>азот (N) 19%, фосфор (Р2О5) 19%, калий (К2О) 19%, магний (MgO) 2%, сера (S) 1,6%, бор (В) 0,01%, марганец (Mn) 0,04%, цинк (Z) 0,02%, медь (Cu) 0,005%, железо (Fe) 0,08%, молибден (Mo) 0,005%, пролонгированный прилипатель. Пролонгированный прилипатель – адъювант с инновационным механизмом транспортировки питательных компонентов внутрь листа. - способствует равномерному распределению макро- и микроэлементов по листу - образует… (сокращено)</x:v>
      </x:c>
      <x:c r="H142" s="6" t="str">
        <x:v>Есть сведения; см. ограничения</x:v>
      </x:c>
      <x:c r="I142" s="6" t="str">
        <x:v>См. карточку</x:v>
      </x:c>
      <x:c r="J142" s="12" t="n">
        <x:v>1</x:v>
      </x:c>
      <x:c r="K142" s="6" t="str">
        <x:v>См. коды и ограничения на листе «Сопоставления»</x:v>
      </x:c>
      <x:c r="L142" s="6"/>
      <x:c r="M142" s="13" t="str">
        <x:v>https://bio-kompleks.ru/catalog/vsya_produktsiya/bio_kompleks_tm_listoriya_rassada/</x:v>
      </x:c>
      <x:c r="N142" s="13"/>
    </x:row>
    <x:row r="143" ht="124" customHeight="1">
      <x:c r="A143" s="9" t="str">
        <x:v>P0138</x:v>
      </x:c>
      <x:c r="B143" s="9" t="str">
        <x:v>Био-комплекс</x:v>
      </x:c>
      <x:c r="C143" s="9" t="str">
        <x:v>БИО-комплекс, ТМ Листория, Томат</x:v>
      </x:c>
      <x:c r="D143" s="9" t="str">
        <x:v>Средство для растений/почвы</x:v>
      </x:c>
      <x:c r="E143" s="9" t="str">
        <x:v>Розничный каталог</x:v>
      </x:c>
      <x:c r="F143" s="9" t="str">
        <x:v>G35; C02</x:v>
      </x:c>
      <x:c r="G143" s="9" t="str">
        <x:v>азот 6%, фосфор (Р2О5) 18%, калий (К2О) 37%, магний (MgO) 2%, бор (В) 0,02%, железо (Fe) 0,08%, марганец (Mn) 0,04%, цинк (Zn) 0,02%, медь (Cu) 0,005%, молибден (Mo) 0,005%, пролонгированный прилипатель. Пролонгированный прилипатель – адъювант с инновационным механизмом транспортировки питательных компонентов внутрь листа - способствует равномерному распределению макро- и микроэлементов по листу - образует дышащую,… (сокращено)</x:v>
      </x:c>
      <x:c r="H143" s="9" t="str">
        <x:v>Есть сведения; см. ограничения</x:v>
      </x:c>
      <x:c r="I143" s="9" t="str">
        <x:v>См. карточку</x:v>
      </x:c>
      <x:c r="J143" s="10" t="n">
        <x:v>1</x:v>
      </x:c>
      <x:c r="K143" s="9" t="str">
        <x:v>См. коды и ограничения на листе «Сопоставления»</x:v>
      </x:c>
      <x:c r="L143" s="9"/>
      <x:c r="M143" s="11" t="str">
        <x:v>https://bio-kompleks.ru/catalog/vsya_produktsiya/bio_kompleks_tm_listoriya_tomat/</x:v>
      </x:c>
      <x:c r="N143" s="11"/>
    </x:row>
    <x:row r="144" ht="138" customHeight="1">
      <x:c r="A144" s="6" t="str">
        <x:v>P0139</x:v>
      </x:c>
      <x:c r="B144" s="6" t="str">
        <x:v>Био-комплекс</x:v>
      </x:c>
      <x:c r="C144" s="6" t="str">
        <x:v>БИО-комплекс, ТМ Листория, Универсальное</x:v>
      </x:c>
      <x:c r="D144" s="6" t="str">
        <x:v>Средство для растений/почвы</x:v>
      </x:c>
      <x:c r="E144" s="6" t="str">
        <x:v>Розничный каталог</x:v>
      </x:c>
      <x:c r="F144" s="6" t="str">
        <x:v>G35; C01</x:v>
      </x:c>
      <x:c r="G144" s="6" t="str">
        <x:v>азот (N) 19%, фосфор (Р2О5) 19%, калий (К2О) 19%, магний (MgO) 2%, сера (S) 1,6%, бор (В) 0,01%, марганец (Mn) 0,04%, цинк (Z) 0,02%, медь (Cu) 0,005%, железо (Fe) 0,08%, молибден (Mo) 0,005%, пролонгированный прилипатель. Пролонгированный прилипатель – адъювант с инновационным механизмом транспортировки питательных компонентов внутрь листа. - способствует равномерному распределению макро- и микроэлементов по листу - образует… (сокращено)</x:v>
      </x:c>
      <x:c r="H144" s="6" t="str">
        <x:v>Есть сведения; см. ограничения</x:v>
      </x:c>
      <x:c r="I144" s="6" t="str">
        <x:v>См. карточку</x:v>
      </x:c>
      <x:c r="J144" s="12" t="n">
        <x:v>1</x:v>
      </x:c>
      <x:c r="K144" s="6" t="str">
        <x:v>См. коды и ограничения на листе «Сопоставления»</x:v>
      </x:c>
      <x:c r="L144" s="6"/>
      <x:c r="M144" s="13" t="str">
        <x:v>https://bio-kompleks.ru/catalog/vsya_produktsiya/bio_kompleks_tm_listoriya_universalnoe_professionalnoe_mineralnoe_udobrenie_npk_19_19_19/</x:v>
      </x:c>
      <x:c r="N144" s="13"/>
    </x:row>
    <x:row r="145" ht="124" customHeight="1">
      <x:c r="A145" s="9" t="str">
        <x:v>P0140</x:v>
      </x:c>
      <x:c r="B145" s="9" t="str">
        <x:v>Био-комплекс</x:v>
      </x:c>
      <x:c r="C145" s="9" t="str">
        <x:v>БИО-комплекс, ТМ Листория, Хвойные вечнозелёные</x:v>
      </x:c>
      <x:c r="D145" s="9" t="str">
        <x:v>Средство для растений/почвы</x:v>
      </x:c>
      <x:c r="E145" s="9" t="str">
        <x:v>Розничный каталог</x:v>
      </x:c>
      <x:c r="F145" s="9" t="str">
        <x:v>G35; C09</x:v>
      </x:c>
      <x:c r="G145" s="9" t="str">
        <x:v>фосфор (Р2О5) 36%, калий (К2О) 24%, магний (MgO) 2%, бор (В) 2%, марганец (Mn) 1%, пролонгированный прилипатель. Пролонгированный прилипатель – адъювант с инновационным механизмом транспортировки питательных компонентов внутрь листа - способствует равномерному распределению макро- и микроэлементов по листу - образует дышащую, несмываемую дождем питательную пленку - обеспечивает постепенное эффективное проникновение… (сокращено)</x:v>
      </x:c>
      <x:c r="H145" s="9" t="str">
        <x:v>Есть сведения; см. ограничения</x:v>
      </x:c>
      <x:c r="I145" s="9" t="str">
        <x:v>См. карточку</x:v>
      </x:c>
      <x:c r="J145" s="10" t="n">
        <x:v>1</x:v>
      </x:c>
      <x:c r="K145" s="9" t="str">
        <x:v>См. коды и ограничения на листе «Сопоставления»</x:v>
      </x:c>
      <x:c r="L145" s="9"/>
      <x:c r="M145" s="11" t="str">
        <x:v>https://bio-kompleks.ru/catalog/vsya_produktsiya/bio_kompleks_tm_listoriya_khvoynye_vechnozelyenye/</x:v>
      </x:c>
      <x:c r="N145" s="11"/>
    </x:row>
    <x:row r="146" ht="138" customHeight="1">
      <x:c r="A146" s="6" t="str">
        <x:v>P0141</x:v>
      </x:c>
      <x:c r="B146" s="6" t="str">
        <x:v>Био-комплекс</x:v>
      </x:c>
      <x:c r="C146" s="6" t="str">
        <x:v>БИО-комплекс, ТМ Листория, Цветы</x:v>
      </x:c>
      <x:c r="D146" s="6" t="str">
        <x:v>Средство для растений/почвы</x:v>
      </x:c>
      <x:c r="E146" s="6" t="str">
        <x:v>Розничный каталог</x:v>
      </x:c>
      <x:c r="F146" s="6" t="str">
        <x:v>G35; C17</x:v>
      </x:c>
      <x:c r="G146" s="6" t="str">
        <x:v>азот (N) 19%, фосфор (Р2О5) 19%, калий (К2О) 19%, магний (MgO) 2%, сера (S) 1,6%, бор (В) 0,01%, марганец (Mn) 0,04%, цинк (Z) 0,02%, медь (Cu) 0,005%, железо (Fe) 0,08%, молибден (Mo) 0,005%, пролонгированный прилипатель. Пролонгированный прилипатель – адъювант с инновационным механизмом транспортировки питательных компонентов внутрь листа. - способствует равномерному распределению макро- и микроэлементов по листу - образует… (сокращено)</x:v>
      </x:c>
      <x:c r="H146" s="6" t="str">
        <x:v>Есть сведения; см. ограничения</x:v>
      </x:c>
      <x:c r="I146" s="6" t="str">
        <x:v>См. карточку</x:v>
      </x:c>
      <x:c r="J146" s="12" t="n">
        <x:v>1</x:v>
      </x:c>
      <x:c r="K146" s="6" t="str">
        <x:v>См. коды и ограничения на листе «Сопоставления»</x:v>
      </x:c>
      <x:c r="L146" s="6"/>
      <x:c r="M146" s="13" t="str">
        <x:v>https://bio-kompleks.ru/catalog/vsya_produktsiya/bio_kompleks_tm_listoriya_tsvety/</x:v>
      </x:c>
      <x:c r="N146" s="13"/>
    </x:row>
    <x:row r="147" ht="138" customHeight="1">
      <x:c r="A147" s="9" t="str">
        <x:v>P0142</x:v>
      </x:c>
      <x:c r="B147" s="9" t="str">
        <x:v>Био-комплекс</x:v>
      </x:c>
      <x:c r="C147" s="9" t="str">
        <x:v>БИО-комплекс, ТМ Листория, Ягоды</x:v>
      </x:c>
      <x:c r="D147" s="9" t="str">
        <x:v>Средство для растений/почвы</x:v>
      </x:c>
      <x:c r="E147" s="9" t="str">
        <x:v>Розничный каталог</x:v>
      </x:c>
      <x:c r="F147" s="9" t="str">
        <x:v>G35; C05</x:v>
      </x:c>
      <x:c r="G147" s="9" t="str">
        <x:v>азот 12%, фосфор (Р2О5) 5%, калий (К2О) 27%, кальций (CaО) 8%, бор (В) 0,1%, железо (Fe) 0,1%, марганец (Mn) 0,1%, цинк (Zn) 0,1%, пролонгированный прилипатель. Пролонгированный прилипатель – адъювант с инновационным механизмом транспортировки питательных компонентов внутрь листа - способствует равномерному распределению макро- и микроэлементов по листу - образует дышащую, несмываемую дождем питательную пленку - обеспечивает… (сокращено)</x:v>
      </x:c>
      <x:c r="H147" s="9" t="str">
        <x:v>Есть сведения; см. ограничения</x:v>
      </x:c>
      <x:c r="I147" s="9" t="str">
        <x:v>См. карточку</x:v>
      </x:c>
      <x:c r="J147" s="10" t="n">
        <x:v>1</x:v>
      </x:c>
      <x:c r="K147" s="9" t="str">
        <x:v>См. коды и ограничения на листе «Сопоставления»</x:v>
      </x:c>
      <x:c r="L147" s="9"/>
      <x:c r="M147" s="11" t="str">
        <x:v>https://bio-kompleks.ru/catalog/vsya_produktsiya/bio_kompleks_tm_listoriya_yagody/</x:v>
      </x:c>
      <x:c r="N147" s="11"/>
    </x:row>
    <x:row r="148" ht="82" customHeight="1">
      <x:c r="A148" s="6" t="str">
        <x:v>P0143</x:v>
      </x:c>
      <x:c r="B148" s="6" t="str">
        <x:v>Био-комплекс</x:v>
      </x:c>
      <x:c r="C148" s="6" t="str">
        <x:v>Биококтейль для адениума, комнатный фэншуй ТМ HAPPY</x:v>
      </x:c>
      <x:c r="D148" s="6" t="str">
        <x:v>Средство для растений/почвы</x:v>
      </x:c>
      <x:c r="E148" s="6" t="str">
        <x:v>Розничный каталог</x:v>
      </x:c>
      <x:c r="F148" s="6" t="str">
        <x:v>C11</x:v>
      </x:c>
      <x:c r="G148" s="6" t="str">
        <x:v>биодоступные макроэлементы ( азот2%, фосфор 2,5%, калий 3%, кальций, магний) и 10 микроэлементов (включая бор, железо, марганец и цинк ), гуминовые и фульвовые вещества, натуральный экстракт ( витамины, каротин, фитонциды, фитостерины, хлорофилл, лигнаны и др.).</x:v>
      </x:c>
      <x:c r="H148" s="6" t="str">
        <x:v>Есть сведения; см. ограничения</x:v>
      </x:c>
      <x:c r="I148" s="6" t="str">
        <x:v>См. карточку</x:v>
      </x:c>
      <x:c r="J148" s="12" t="n">
        <x:v>1</x:v>
      </x:c>
      <x:c r="K148" s="6" t="str">
        <x:v>См. коды и ограничения на листе «Сопоставления»</x:v>
      </x:c>
      <x:c r="L148" s="6"/>
      <x:c r="M148" s="13" t="str">
        <x:v>https://bio-kompleks.ru/catalog/vsya_produktsiya/biokokteyl_dlya_adeniuma_komnatnyy_fenshuy_tm_happy/</x:v>
      </x:c>
      <x:c r="N148" s="13"/>
    </x:row>
    <x:row r="149" ht="68" customHeight="1">
      <x:c r="A149" s="9" t="str">
        <x:v>P0144</x:v>
      </x:c>
      <x:c r="B149" s="9" t="str">
        <x:v>Био-комплекс</x:v>
      </x:c>
      <x:c r="C149" s="9" t="str">
        <x:v>Биококтейль для алоказии, комнатный фэншуй ТМ HAPPY</x:v>
      </x:c>
      <x:c r="D149" s="9" t="str">
        <x:v>Средство для растений/почвы</x:v>
      </x:c>
      <x:c r="E149" s="9" t="str">
        <x:v>Розничный каталог</x:v>
      </x:c>
      <x:c r="F149" s="9" t="str">
        <x:v>C11</x:v>
      </x:c>
      <x:c r="G149" s="9" t="str">
        <x:v>биодоступные макроэлементы (азот 3%, фосфор 2,5%, калий 2%) и 11 микроэлементов (включая цинк и кремний), гуминовые вещества, натуральный экстракт (витамины, каротин, фитонциды, фитостерины, хлорофилл, лигнаны и др.)</x:v>
      </x:c>
      <x:c r="H149" s="9" t="str">
        <x:v>Есть сведения; см. ограничения</x:v>
      </x:c>
      <x:c r="I149" s="9" t="str">
        <x:v>См. карточку</x:v>
      </x:c>
      <x:c r="J149" s="10" t="n">
        <x:v>1</x:v>
      </x:c>
      <x:c r="K149" s="9" t="str">
        <x:v>См. коды и ограничения на листе «Сопоставления»</x:v>
      </x:c>
      <x:c r="L149" s="9"/>
      <x:c r="M149" s="11" t="str">
        <x:v>https://bio-kompleks.ru/catalog/vsya_produktsiya/biokokteyl-dlya-alokazii-komnatnyy-fenshuy-tm-happy/</x:v>
      </x:c>
      <x:c r="N149" s="11"/>
    </x:row>
    <x:row r="150" ht="68" customHeight="1">
      <x:c r="A150" s="6" t="str">
        <x:v>P0145</x:v>
      </x:c>
      <x:c r="B150" s="6" t="str">
        <x:v>Био-комплекс</x:v>
      </x:c>
      <x:c r="C150" s="6" t="str">
        <x:v>Биококтейль для антуриума, комнатный фэншуй ТМ HAPPY</x:v>
      </x:c>
      <x:c r="D150" s="6" t="str">
        <x:v>Средство для растений/почвы</x:v>
      </x:c>
      <x:c r="E150" s="6" t="str">
        <x:v>Розничный каталог</x:v>
      </x:c>
      <x:c r="F150" s="6" t="str">
        <x:v>C11</x:v>
      </x:c>
      <x:c r="G150" s="6" t="str">
        <x:v>биодоступные макроэлементы (азот, фосфор, калий) и 10 микроэлементов (включая алюминий и бор), гуминовые и фульвовые вещества, натуральный экстракт (витамины, каротин, фитонциды, фитостерины, хлорофилл, лигнаны и др.)</x:v>
      </x:c>
      <x:c r="H150" s="6" t="str">
        <x:v>Есть сведения; см. ограничения</x:v>
      </x:c>
      <x:c r="I150" s="6" t="str">
        <x:v>См. карточку</x:v>
      </x:c>
      <x:c r="J150" s="12" t="n">
        <x:v>1</x:v>
      </x:c>
      <x:c r="K150" s="6" t="str">
        <x:v>См. коды и ограничения на листе «Сопоставления»</x:v>
      </x:c>
      <x:c r="L150" s="6"/>
      <x:c r="M150" s="13" t="str">
        <x:v>https://bio-kompleks.ru/catalog/vsya_produktsiya/biokokteyl-dlya-anturiuma-komnatnyy-fenshuy-tm-happy/</x:v>
      </x:c>
      <x:c r="N150" s="13"/>
    </x:row>
    <x:row r="151" ht="68" customHeight="1">
      <x:c r="A151" s="9" t="str">
        <x:v>P0146</x:v>
      </x:c>
      <x:c r="B151" s="9" t="str">
        <x:v>Био-комплекс</x:v>
      </x:c>
      <x:c r="C151" s="9" t="str">
        <x:v>БИОкоктейль для всех видов зелени ТМ БИОША</x:v>
      </x:c>
      <x:c r="D151" s="9" t="str">
        <x:v>Средство для растений/почвы</x:v>
      </x:c>
      <x:c r="E151" s="9" t="str">
        <x:v>Розничный каталог</x:v>
      </x:c>
      <x:c r="F151" s="9" t="str">
        <x:v>C25</x:v>
      </x:c>
      <x:c r="G151" s="9" t="str">
        <x:v>биодоступные макроэлементы (азот, фосфор, калий) и 9 микроэлементов (включая алюминий и железо), гуминовые и фульвовые вещества, натуральный экстракт (витамины, каротин, фитонциды, фитостерины, хлорофилл, лигнаны и др.)</x:v>
      </x:c>
      <x:c r="H151" s="9" t="str">
        <x:v>Есть сведения; см. ограничения</x:v>
      </x:c>
      <x:c r="I151" s="9" t="str">
        <x:v>См. карточку</x:v>
      </x:c>
      <x:c r="J151" s="10" t="n">
        <x:v>1</x:v>
      </x:c>
      <x:c r="K151" s="9" t="str">
        <x:v>См. коды и ограничения на листе «Сопоставления»</x:v>
      </x:c>
      <x:c r="L151" s="9"/>
      <x:c r="M151" s="11" t="str">
        <x:v>https://bio-kompleks.ru/catalog/vsya_produktsiya/biokokteyl-dlya-vsekh-vidov-zeleni-tm-biosha/</x:v>
      </x:c>
      <x:c r="N151" s="11"/>
    </x:row>
    <x:row r="152" ht="82" customHeight="1">
      <x:c r="A152" s="6" t="str">
        <x:v>P0147</x:v>
      </x:c>
      <x:c r="B152" s="6" t="str">
        <x:v>Био-комплекс</x:v>
      </x:c>
      <x:c r="C152" s="6" t="str">
        <x:v>БИОкоктейль для голубики, брусники и клюквы ТМ БИОША</x:v>
      </x:c>
      <x:c r="D152" s="6" t="str">
        <x:v>Средство для растений/почвы</x:v>
      </x:c>
      <x:c r="E152" s="6" t="str">
        <x:v>Розничный каталог</x:v>
      </x:c>
      <x:c r="F152" s="6" t="str">
        <x:v>C08</x:v>
      </x:c>
      <x:c r="G152" s="6" t="str">
        <x:v>биодоступные макроэлементы (азот, фосфор, калий) и 8 микроэлементов (включая цинк, алюминий), янтарная кислота, гуминовые и фульвовые вещества, натуральный экстракт (витамины, каротин, фитонциды, фитостерины, хлорофилл, лигнаны и др.).</x:v>
      </x:c>
      <x:c r="H152" s="6" t="str">
        <x:v>Есть сведения; см. ограничения</x:v>
      </x:c>
      <x:c r="I152" s="6" t="str">
        <x:v>См. карточку</x:v>
      </x:c>
      <x:c r="J152" s="12" t="n">
        <x:v>1</x:v>
      </x:c>
      <x:c r="K152" s="6" t="str">
        <x:v>См. коды и ограничения на листе «Сопоставления»</x:v>
      </x:c>
      <x:c r="L152" s="6"/>
      <x:c r="M152" s="13" t="str">
        <x:v>https://bio-kompleks.ru/catalog/vsya_produktsiya/biokokteyl-dlya-golubiki-brusniki-i-klyukvy-tm-biosha/</x:v>
      </x:c>
      <x:c r="N152" s="13"/>
    </x:row>
    <x:row r="153" ht="82" customHeight="1">
      <x:c r="A153" s="9" t="str">
        <x:v>P0148</x:v>
      </x:c>
      <x:c r="B153" s="9" t="str">
        <x:v>Био-комплекс</x:v>
      </x:c>
      <x:c r="C153" s="9" t="str">
        <x:v>БИОкоктейль для гортензий, азалий и рододендронов ТМ Витаминус</x:v>
      </x:c>
      <x:c r="D153" s="9" t="str">
        <x:v>Средство для растений/почвы</x:v>
      </x:c>
      <x:c r="E153" s="9" t="str">
        <x:v>Розничный каталог</x:v>
      </x:c>
      <x:c r="F153" s="9" t="str">
        <x:v>C07</x:v>
      </x:c>
      <x:c r="G153" s="9" t="str">
        <x:v>биодоступные макроэлементы (азот 2,5%, фосфор 2%, калий 3%) и 7 микроэлементов (включая марганец и бор), гуминовые и фульвовые вещества, янтарная кислота, натуральный экстракт (витамины, аминокислоты, каротин, фитонциды, фитостерины, хлорофилл, лигнаны и др.).</x:v>
      </x:c>
      <x:c r="H153" s="9" t="str">
        <x:v>Есть сведения; см. ограничения</x:v>
      </x:c>
      <x:c r="I153" s="9" t="str">
        <x:v>См. карточку</x:v>
      </x:c>
      <x:c r="J153" s="10" t="n">
        <x:v>1</x:v>
      </x:c>
      <x:c r="K153" s="9" t="str">
        <x:v>См. коды и ограничения на листе «Сопоставления»</x:v>
      </x:c>
      <x:c r="L153" s="9"/>
      <x:c r="M153" s="11" t="str">
        <x:v>https://bio-kompleks.ru/catalog/vsya_produktsiya/biokokteyl_dlya_gortenziy_azaliy_i_rododendronov_tm_vitaminus/</x:v>
      </x:c>
      <x:c r="N153" s="11"/>
    </x:row>
    <x:row r="154" ht="68" customHeight="1">
      <x:c r="A154" s="6" t="str">
        <x:v>P0149</x:v>
      </x:c>
      <x:c r="B154" s="6" t="str">
        <x:v>Био-комплекс</x:v>
      </x:c>
      <x:c r="C154" s="6" t="str">
        <x:v>Биококтейль для замиокулькаса, комнатный фэншуй ТМ HAPPY</x:v>
      </x:c>
      <x:c r="D154" s="6" t="str">
        <x:v>Средство для растений/почвы</x:v>
      </x:c>
      <x:c r="E154" s="6" t="str">
        <x:v>Розничный каталог</x:v>
      </x:c>
      <x:c r="F154" s="6" t="str">
        <x:v>C11</x:v>
      </x:c>
      <x:c r="G154" s="6" t="str">
        <x:v>биодоступные макроэлементы (азот, фосфор, калий) и 8 микроэлементов (включая медь и алюминий), гуминовые вещества, натуральный экстракт (витамины, каротин, фитонциды, фитостерины, хлорофилл, лигнаны и др.)</x:v>
      </x:c>
      <x:c r="H154" s="6" t="str">
        <x:v>Есть сведения; см. ограничения</x:v>
      </x:c>
      <x:c r="I154" s="6" t="str">
        <x:v>См. карточку</x:v>
      </x:c>
      <x:c r="J154" s="12" t="n">
        <x:v>1</x:v>
      </x:c>
      <x:c r="K154" s="6" t="str">
        <x:v>См. коды и ограничения на листе «Сопоставления»</x:v>
      </x:c>
      <x:c r="L154" s="6"/>
      <x:c r="M154" s="13" t="str">
        <x:v>https://bio-kompleks.ru/catalog/vsya_produktsiya/biokokteyl-dlya-zamiokulkasa-komnatnyy-fenshuy-tm-happy/</x:v>
      </x:c>
      <x:c r="N154" s="13"/>
    </x:row>
    <x:row r="155" ht="82" customHeight="1">
      <x:c r="A155" s="9" t="str">
        <x:v>P0150</x:v>
      </x:c>
      <x:c r="B155" s="9" t="str">
        <x:v>Био-комплекс</x:v>
      </x:c>
      <x:c r="C155" s="9" t="str">
        <x:v>БИОкоктейль для капусты ТМ ВитаминУС</x:v>
      </x:c>
      <x:c r="D155" s="9" t="str">
        <x:v>Средство для растений/почвы</x:v>
      </x:c>
      <x:c r="E155" s="9" t="str">
        <x:v>Розничный каталог</x:v>
      </x:c>
      <x:c r="F155" s="9" t="str">
        <x:v>C23</x:v>
      </x:c>
      <x:c r="G155" s="9" t="str">
        <x:v>биодоступные макроэлементы (азот 3%, фосфор 3%, калий 3,5%, кальций) и 9 микроэлементов (включая марганец, медь и бор), гуминовые и фульвовые вещества, янтарная кислота, натуральный экстракт (витамины, каротин, фитонциды, фитостерины, хлорофилл, лигнаны и др.).</x:v>
      </x:c>
      <x:c r="H155" s="9" t="str">
        <x:v>Есть сведения; см. ограничения</x:v>
      </x:c>
      <x:c r="I155" s="9" t="str">
        <x:v>См. карточку</x:v>
      </x:c>
      <x:c r="J155" s="10" t="n">
        <x:v>1</x:v>
      </x:c>
      <x:c r="K155" s="9" t="str">
        <x:v>См. коды и ограничения на листе «Сопоставления»</x:v>
      </x:c>
      <x:c r="L155" s="9"/>
      <x:c r="M155" s="11" t="str">
        <x:v>https://bio-kompleks.ru/catalog/vsya_produktsiya/biokokteyl_dlya_kapusty_tm_vitaminus/</x:v>
      </x:c>
      <x:c r="N155" s="11"/>
    </x:row>
    <x:row r="156" ht="124" customHeight="1">
      <x:c r="A156" s="6" t="str">
        <x:v>P0151</x:v>
      </x:c>
      <x:c r="B156" s="6" t="str">
        <x:v>Био-комплекс</x:v>
      </x:c>
      <x:c r="C156" s="6" t="str">
        <x:v>Биококтейль для клематисов ТМ ВитаминУС</x:v>
      </x:c>
      <x:c r="D156" s="6" t="str">
        <x:v>Средство для растений/почвы</x:v>
      </x:c>
      <x:c r="E156" s="6" t="str">
        <x:v>Розничный каталог</x:v>
      </x:c>
      <x:c r="F156" s="6" t="str">
        <x:v>C17</x:v>
      </x:c>
      <x:c r="G156" s="6" t="str">
        <x:v>биодоступные макроэлементы ( азот 1,5%, фосфор 2%, калий 3%, кальций 0,8%, магний 0,5%) и 10 микроэлементов в хелатных формах (включая бор и железо ), гуминовые и фульвовые вещества, натуральный экстракт ( витамины, каротин, фитонциды, фитостерины, хлорофилл, лигнаны и др.). Совет: Клематисы лучше растут на нейтральных или слабощелочных почвах – 1 раз в год добавляйте в грунт раскислитель СуперКАЛЬЦИЙ.</x:v>
      </x:c>
      <x:c r="H156" s="6" t="str">
        <x:v>Есть сведения; см. ограничения</x:v>
      </x:c>
      <x:c r="I156" s="6" t="str">
        <x:v>См. карточку</x:v>
      </x:c>
      <x:c r="J156" s="12" t="n">
        <x:v>1</x:v>
      </x:c>
      <x:c r="K156" s="6" t="str">
        <x:v>См. коды и ограничения на листе «Сопоставления»</x:v>
      </x:c>
      <x:c r="L156" s="6"/>
      <x:c r="M156" s="13" t="str">
        <x:v>https://bio-kompleks.ru/catalog/vsya_produktsiya/biokokteyl_dlya_klematisov_tm_vitaminus/</x:v>
      </x:c>
      <x:c r="N156" s="13"/>
    </x:row>
    <x:row r="157" ht="82" customHeight="1">
      <x:c r="A157" s="9" t="str">
        <x:v>P0152</x:v>
      </x:c>
      <x:c r="B157" s="9" t="str">
        <x:v>Био-комплекс</x:v>
      </x:c>
      <x:c r="C157" s="9" t="str">
        <x:v>БИОкоктейль для клубники и малины ТМ ВИТАМИНУС</x:v>
      </x:c>
      <x:c r="D157" s="9" t="str">
        <x:v>Средство для растений/почвы</x:v>
      </x:c>
      <x:c r="E157" s="9" t="str">
        <x:v>Розничный каталог</x:v>
      </x:c>
      <x:c r="F157" s="9" t="str">
        <x:v>C05</x:v>
      </x:c>
      <x:c r="G157" s="9" t="str">
        <x:v>биодоступные макроэлементы (азот 1,5%, фосфор 3%, калий 3%) и 11 микроэлементов (включая бор, цинк и марганец), гуминовые и фульвовые вещества, натуральный экстракт (витамины, каротин, фитонциды, фитостерины, хлорофилл, лигнаны и др.).</x:v>
      </x:c>
      <x:c r="H157" s="9" t="str">
        <x:v>Есть сведения; см. ограничения</x:v>
      </x:c>
      <x:c r="I157" s="9" t="str">
        <x:v>См. карточку</x:v>
      </x:c>
      <x:c r="J157" s="10" t="n">
        <x:v>1</x:v>
      </x:c>
      <x:c r="K157" s="9" t="str">
        <x:v>См. коды и ограничения на листе «Сопоставления»</x:v>
      </x:c>
      <x:c r="L157" s="9"/>
      <x:c r="M157" s="11" t="str">
        <x:v>https://bio-kompleks.ru/catalog/vsya_produktsiya/biokokteyl_dlya_klubniki_i_maliny_tm_vitaminus/</x:v>
      </x:c>
      <x:c r="N157" s="11"/>
    </x:row>
    <x:row r="158" ht="68" customHeight="1">
      <x:c r="A158" s="6" t="str">
        <x:v>P0153</x:v>
      </x:c>
      <x:c r="B158" s="6" t="str">
        <x:v>Био-комплекс</x:v>
      </x:c>
      <x:c r="C158" s="6" t="str">
        <x:v>БИОкоктейль для комнатной зелени ТМ ВитаминУС</x:v>
      </x:c>
      <x:c r="D158" s="6" t="str">
        <x:v>Средство для растений/почвы</x:v>
      </x:c>
      <x:c r="E158" s="6" t="str">
        <x:v>Розничный каталог</x:v>
      </x:c>
      <x:c r="F158" s="6" t="str">
        <x:v>C11; C25</x:v>
      </x:c>
      <x:c r="G158" s="6" t="str">
        <x:v>биодоступные макроэлементы (азот, фосфор, калий, кальций, магний) и 9 микроэлементов, гуминовые и фульвовые вещества, натуральный экстракт( витамины, каротин, фитонциды, фитостерины, хлорофилл, лигнаны и др).</x:v>
      </x:c>
      <x:c r="H158" s="6" t="str">
        <x:v>Есть сведения; см. ограничения</x:v>
      </x:c>
      <x:c r="I158" s="6" t="str">
        <x:v>См. карточку</x:v>
      </x:c>
      <x:c r="J158" s="12" t="n">
        <x:v>1</x:v>
      </x:c>
      <x:c r="K158" s="6" t="str">
        <x:v>См. коды и ограничения на листе «Сопоставления»</x:v>
      </x:c>
      <x:c r="L158" s="6"/>
      <x:c r="M158" s="13" t="str">
        <x:v>https://bio-kompleks.ru/catalog/vsya_produktsiya/biokokteyl-dlya-komnatnoy-zeleni-tm-vitaminus/</x:v>
      </x:c>
      <x:c r="N158" s="13"/>
    </x:row>
    <x:row r="159" ht="68" customHeight="1">
      <x:c r="A159" s="9" t="str">
        <x:v>P0154</x:v>
      </x:c>
      <x:c r="B159" s="9" t="str">
        <x:v>Био-комплекс</x:v>
      </x:c>
      <x:c r="C159" s="9" t="str">
        <x:v>Биококтейль для комнатной розы, комнатный фэншуй ТМ HAPPY</x:v>
      </x:c>
      <x:c r="D159" s="9" t="str">
        <x:v>Средство для растений/почвы</x:v>
      </x:c>
      <x:c r="E159" s="9" t="str">
        <x:v>Розничный каталог</x:v>
      </x:c>
      <x:c r="F159" s="9" t="str">
        <x:v>C06; C11</x:v>
      </x:c>
      <x:c r="G159" s="9" t="str">
        <x:v>биодоступные макроэлементы (азот, фосфор, калий) и 11 микроэлементов (включая бор и цинк), гуминовые вещества, натуральный экстракт (витамины, каротин, фитонциды, фитостерины, хлорофилл, лигнаны и др.)</x:v>
      </x:c>
      <x:c r="H159" s="9" t="str">
        <x:v>Есть сведения; см. ограничения</x:v>
      </x:c>
      <x:c r="I159" s="9" t="str">
        <x:v>См. карточку</x:v>
      </x:c>
      <x:c r="J159" s="10" t="n">
        <x:v>1</x:v>
      </x:c>
      <x:c r="K159" s="9" t="str">
        <x:v>См. коды и ограничения на листе «Сопоставления»</x:v>
      </x:c>
      <x:c r="L159" s="9"/>
      <x:c r="M159" s="11" t="str">
        <x:v>https://bio-kompleks.ru/catalog/vsya_produktsiya/biokokteyl-dlya-komnatnoy-rozy-komnatnyy-fenshuy-tm-happy/</x:v>
      </x:c>
      <x:c r="N159" s="11"/>
    </x:row>
    <x:row r="160" ht="82" customHeight="1">
      <x:c r="A160" s="6" t="str">
        <x:v>P0155</x:v>
      </x:c>
      <x:c r="B160" s="6" t="str">
        <x:v>Био-комплекс</x:v>
      </x:c>
      <x:c r="C160" s="6" t="str">
        <x:v>БИОкоктейль для комнатных огурчиков ТМ ВитаминУС</x:v>
      </x:c>
      <x:c r="D160" s="6" t="str">
        <x:v>Средство для растений/почвы</x:v>
      </x:c>
      <x:c r="E160" s="6" t="str">
        <x:v>Розничный каталог</x:v>
      </x:c>
      <x:c r="F160" s="6" t="str">
        <x:v>C03; C11</x:v>
      </x:c>
      <x:c r="G160" s="6" t="str">
        <x:v>биодоступные макроэлементы (азот 2%, фосфор 2,2%, калий 2,5%, магний) и 10 микроэлементов (включая бор), гуминовые и фульвовые вещества, натуральный экстракт (витамины, каротин, фитонциды, фитостерины, хлорофилл, лигнаны и др).</x:v>
      </x:c>
      <x:c r="H160" s="6" t="str">
        <x:v>Есть сведения; см. ограничения</x:v>
      </x:c>
      <x:c r="I160" s="6" t="str">
        <x:v>См. карточку</x:v>
      </x:c>
      <x:c r="J160" s="12" t="n">
        <x:v>1</x:v>
      </x:c>
      <x:c r="K160" s="6" t="str">
        <x:v>См. коды и ограничения на листе «Сопоставления»</x:v>
      </x:c>
      <x:c r="L160" s="6"/>
      <x:c r="M160" s="13" t="str">
        <x:v>https://bio-kompleks.ru/catalog/vsya_produktsiya/biokokteyl-dlya-komnatnykh-ogurchikov-tm-vitaminus/</x:v>
      </x:c>
      <x:c r="N160" s="13"/>
    </x:row>
    <x:row r="161" ht="82" customHeight="1">
      <x:c r="A161" s="9" t="str">
        <x:v>P0156</x:v>
      </x:c>
      <x:c r="B161" s="9" t="str">
        <x:v>Био-комплекс</x:v>
      </x:c>
      <x:c r="C161" s="9" t="str">
        <x:v>БИОкоктейль для комнатных помидорчиков и перчиков ТМ ВитаминУС</x:v>
      </x:c>
      <x:c r="D161" s="9" t="str">
        <x:v>Средство для растений/почвы</x:v>
      </x:c>
      <x:c r="E161" s="9" t="str">
        <x:v>Розничный каталог</x:v>
      </x:c>
      <x:c r="F161" s="9" t="str">
        <x:v>C02; C11</x:v>
      </x:c>
      <x:c r="G161" s="9" t="str">
        <x:v>биодоступные макроэлементы (азот 1,5%, фосфор 2,5%, калий 3,5%) и 11 микроэлементов (включая марганец и бор), гуминовые и фульвовые вещества, янтарная кислота, натуральный экстракт( витамины, каротин, фитонциды, фитостерины, хлорофилл, лигнаны и др).</x:v>
      </x:c>
      <x:c r="H161" s="9" t="str">
        <x:v>Есть сведения; см. ограничения</x:v>
      </x:c>
      <x:c r="I161" s="9" t="str">
        <x:v>См. карточку</x:v>
      </x:c>
      <x:c r="J161" s="10" t="n">
        <x:v>1</x:v>
      </x:c>
      <x:c r="K161" s="9" t="str">
        <x:v>См. коды и ограничения на листе «Сопоставления»</x:v>
      </x:c>
      <x:c r="L161" s="9"/>
      <x:c r="M161" s="11" t="str">
        <x:v>https://bio-kompleks.ru/catalog/vsya_produktsiya/biokokteyl-dlya-komnatnykh-pomidorchikov-i-perchikov-tm-vitaminus/</x:v>
      </x:c>
      <x:c r="N161" s="11"/>
    </x:row>
    <x:row r="162" ht="124" customHeight="1">
      <x:c r="A162" s="6" t="str">
        <x:v>P0157</x:v>
      </x:c>
      <x:c r="B162" s="6" t="str">
        <x:v>Био-комплекс</x:v>
      </x:c>
      <x:c r="C162" s="6" t="str">
        <x:v>Биококтейль для лаванды ТМ ВИТАМИНУС</x:v>
      </x:c>
      <x:c r="D162" s="6" t="str">
        <x:v>Средство для растений/почвы</x:v>
      </x:c>
      <x:c r="E162" s="6" t="str">
        <x:v>Розничный каталог</x:v>
      </x:c>
      <x:c r="F162" s="6" t="str">
        <x:v>C17</x:v>
      </x:c>
      <x:c r="G162" s="6" t="str">
        <x:v>биодоступные макроэлементы ( азот 1,2%, фосфор 2,5%, калий 3%, кальций 1%, магний 0,5%, сера) и 10 микроэлементов в хелатных формах (включая бор и железо ), гуминовые и фульвовые вещества, натуральный экстракт ( витамины, каротин, фитонциды, фитостерины, хлорофилл, лигнаны и др.). Совет: Лаванда лучше растет на слабощелочных почвах – 1 раз в год добавляйте в грунт раскислитель СуперКАЛЬЦИЙ.</x:v>
      </x:c>
      <x:c r="H162" s="6" t="str">
        <x:v>Есть сведения; см. ограничения</x:v>
      </x:c>
      <x:c r="I162" s="6" t="str">
        <x:v>См. карточку</x:v>
      </x:c>
      <x:c r="J162" s="12" t="n">
        <x:v>1</x:v>
      </x:c>
      <x:c r="K162" s="6" t="str">
        <x:v>См. коды и ограничения на листе «Сопоставления»</x:v>
      </x:c>
      <x:c r="L162" s="6"/>
      <x:c r="M162" s="13" t="str">
        <x:v>https://bio-kompleks.ru/catalog/vsya_produktsiya/biokokteyl_dlya_lavandy_tm_vitaminus/</x:v>
      </x:c>
      <x:c r="N162" s="13"/>
    </x:row>
    <x:row r="163" ht="82" customHeight="1">
      <x:c r="A163" s="9" t="str">
        <x:v>P0158</x:v>
      </x:c>
      <x:c r="B163" s="9" t="str">
        <x:v>Био-комплекс</x:v>
      </x:c>
      <x:c r="C163" s="9" t="str">
        <x:v>БИОкоктейль для огурцов и кабачков ТМ ВИТАМИНУС</x:v>
      </x:c>
      <x:c r="D163" s="9" t="str">
        <x:v>Средство для растений/почвы</x:v>
      </x:c>
      <x:c r="E163" s="9" t="str">
        <x:v>Розничный каталог</x:v>
      </x:c>
      <x:c r="F163" s="9" t="str">
        <x:v>C03</x:v>
      </x:c>
      <x:c r="G163" s="9" t="str">
        <x:v>биодоступные макроэлементы (азот 2,5%, фосфор 3%, калий 3%, магний и кальций) и 9 микроэлементов (включая железо и бор), гуминовые и фульвовые вещества, янтарная кислота, натуральный экстракт (витамины, каротин, фитонциды, фитостерины, хлорофилл, лигнаны и др.).</x:v>
      </x:c>
      <x:c r="H163" s="9" t="str">
        <x:v>Есть сведения; см. ограничения</x:v>
      </x:c>
      <x:c r="I163" s="9" t="str">
        <x:v>См. карточку</x:v>
      </x:c>
      <x:c r="J163" s="10" t="n">
        <x:v>1</x:v>
      </x:c>
      <x:c r="K163" s="9" t="str">
        <x:v>См. коды и ограничения на листе «Сопоставления»</x:v>
      </x:c>
      <x:c r="L163" s="9"/>
      <x:c r="M163" s="11" t="str">
        <x:v>https://bio-kompleks.ru/catalog/vsya_produktsiya/biokokteyl_dlya_ogurtsov_i_kabachkov_tm_vitaminus/</x:v>
      </x:c>
      <x:c r="N163" s="11"/>
    </x:row>
    <x:row r="164" ht="68" customHeight="1">
      <x:c r="A164" s="6" t="str">
        <x:v>P0159</x:v>
      </x:c>
      <x:c r="B164" s="6" t="str">
        <x:v>Био-комплекс</x:v>
      </x:c>
      <x:c r="C164" s="6" t="str">
        <x:v>Биококтейль для орхидеи, комнатный фэншуй ТМ HAPPY</x:v>
      </x:c>
      <x:c r="D164" s="6" t="str">
        <x:v>Средство для растений/почвы</x:v>
      </x:c>
      <x:c r="E164" s="6" t="str">
        <x:v>Розничный каталог</x:v>
      </x:c>
      <x:c r="F164" s="6" t="str">
        <x:v>C11; C12</x:v>
      </x:c>
      <x:c r="G164" s="6" t="str">
        <x:v>биодоступные макроэлементы (азот, фосфор, калий) и 9 микроэлементов (включая бор и алюминий), гуминовые вещества, янтарная кислота, природный экстракт (витамины, каротин, фитонциды, фитостерины, хлорофилл, лигнаны и др.)</x:v>
      </x:c>
      <x:c r="H164" s="6" t="str">
        <x:v>Есть сведения; см. ограничения</x:v>
      </x:c>
      <x:c r="I164" s="6" t="str">
        <x:v>См. карточку</x:v>
      </x:c>
      <x:c r="J164" s="12" t="n">
        <x:v>1</x:v>
      </x:c>
      <x:c r="K164" s="6" t="str">
        <x:v>См. коды и ограничения на листе «Сопоставления»</x:v>
      </x:c>
      <x:c r="L164" s="6"/>
      <x:c r="M164" s="13" t="str">
        <x:v>https://bio-kompleks.ru/catalog/vsya_produktsiya/biokokteyl-dlya-orkhidei-komnatnyy-fenshuy-tm-happy/</x:v>
      </x:c>
      <x:c r="N164" s="13"/>
    </x:row>
    <x:row r="165" ht="82" customHeight="1">
      <x:c r="A165" s="9" t="str">
        <x:v>P0160</x:v>
      </x:c>
      <x:c r="B165" s="9" t="str">
        <x:v>Био-комплекс</x:v>
      </x:c>
      <x:c r="C165" s="9" t="str">
        <x:v>БИОкоктейль для петуний ТМ БИОША</x:v>
      </x:c>
      <x:c r="D165" s="9" t="str">
        <x:v>Средство для растений/почвы</x:v>
      </x:c>
      <x:c r="E165" s="9" t="str">
        <x:v>Розничный каталог</x:v>
      </x:c>
      <x:c r="F165" s="9" t="str">
        <x:v>C17</x:v>
      </x:c>
      <x:c r="G165" s="9" t="str">
        <x:v>биодоступные макроэлементы (азот, фосфор, калий) и 7 микроэлементов (включая бор, магний и цинк), гуминовые и фульвовые вещества, натуральный экстракт (витамины, каротин, фитонциды, фитостерины, хлорофилл, лигнаны и др.).</x:v>
      </x:c>
      <x:c r="H165" s="9" t="str">
        <x:v>Есть сведения; см. ограничения</x:v>
      </x:c>
      <x:c r="I165" s="9" t="str">
        <x:v>См. карточку</x:v>
      </x:c>
      <x:c r="J165" s="10" t="n">
        <x:v>1</x:v>
      </x:c>
      <x:c r="K165" s="9" t="str">
        <x:v>См. коды и ограничения на листе «Сопоставления»</x:v>
      </x:c>
      <x:c r="L165" s="9"/>
      <x:c r="M165" s="11" t="str">
        <x:v>https://bio-kompleks.ru/catalog/vsya_produktsiya/biokokteyl-dlya-petuniy-tm-biosha/</x:v>
      </x:c>
      <x:c r="N165" s="11"/>
    </x:row>
    <x:row r="166" ht="82" customHeight="1">
      <x:c r="A166" s="6" t="str">
        <x:v>P0161</x:v>
      </x:c>
      <x:c r="B166" s="6" t="str">
        <x:v>Био-комплекс</x:v>
      </x:c>
      <x:c r="C166" s="6" t="str">
        <x:v>БИОкоктейль для петуний ТМ ВИТАМИНУС</x:v>
      </x:c>
      <x:c r="D166" s="6" t="str">
        <x:v>Средство для растений/почвы</x:v>
      </x:c>
      <x:c r="E166" s="6" t="str">
        <x:v>Розничный каталог</x:v>
      </x:c>
      <x:c r="F166" s="6" t="str">
        <x:v>C17</x:v>
      </x:c>
      <x:c r="G166" s="6" t="str">
        <x:v>биодоступные макроэлементы (азот 2%, фосфор 3%, калий 3.5%, магний) и 7 микроэлементов (включая бор и цинк), гуминовые и фульвовые вещества, натуральный экстракт (витамины, каротин, фитонциды, фитостерины, хлорофилл, лигнаны и др.).</x:v>
      </x:c>
      <x:c r="H166" s="6" t="str">
        <x:v>Есть сведения; см. ограничения</x:v>
      </x:c>
      <x:c r="I166" s="6" t="str">
        <x:v>См. карточку</x:v>
      </x:c>
      <x:c r="J166" s="12" t="n">
        <x:v>1</x:v>
      </x:c>
      <x:c r="K166" s="6" t="str">
        <x:v>См. коды и ограничения на листе «Сопоставления»</x:v>
      </x:c>
      <x:c r="L166" s="6"/>
      <x:c r="M166" s="13" t="str">
        <x:v>https://bio-kompleks.ru/catalog/vsya_produktsiya/biokokteyl_dlya_petuniy_tm_vitaminus/</x:v>
      </x:c>
      <x:c r="N166" s="13"/>
    </x:row>
    <x:row r="167" ht="82" customHeight="1">
      <x:c r="A167" s="9" t="str">
        <x:v>P0162</x:v>
      </x:c>
      <x:c r="B167" s="9" t="str">
        <x:v>Био-комплекс</x:v>
      </x:c>
      <x:c r="C167" s="9" t="str">
        <x:v>Биококтейль для рассады ТМ ВитаминУС</x:v>
      </x:c>
      <x:c r="D167" s="9" t="str">
        <x:v>Средство для растений/почвы</x:v>
      </x:c>
      <x:c r="E167" s="9" t="str">
        <x:v>Розничный каталог</x:v>
      </x:c>
      <x:c r="F167" s="9" t="str">
        <x:v>C04</x:v>
      </x:c>
      <x:c r="G167" s="9" t="str">
        <x:v>13 биодоступных макро- и микроэлементов (азот 3%, фосфор 2,5%, калий 2,5%, сера, магний и др.), гуминовые и фульвовые вещества, натуральный экстракт (витамины, аминокислоты, каротин, фитонциды, фитостерины, хлорофилл, лигнаны и др.)</x:v>
      </x:c>
      <x:c r="H167" s="9" t="str">
        <x:v>Есть сведения; см. ограничения</x:v>
      </x:c>
      <x:c r="I167" s="9" t="str">
        <x:v>См. карточку</x:v>
      </x:c>
      <x:c r="J167" s="10" t="n">
        <x:v>1</x:v>
      </x:c>
      <x:c r="K167" s="9" t="str">
        <x:v>См. коды и ограничения на листе «Сопоставления»</x:v>
      </x:c>
      <x:c r="L167" s="9"/>
      <x:c r="M167" s="11" t="str">
        <x:v>https://bio-kompleks.ru/catalog/vsya_produktsiya/biokokteyl-dlya-rassady-tm-vitaminus/</x:v>
      </x:c>
      <x:c r="N167" s="11"/>
    </x:row>
    <x:row r="168" ht="68" customHeight="1">
      <x:c r="A168" s="6" t="str">
        <x:v>P0163</x:v>
      </x:c>
      <x:c r="B168" s="6" t="str">
        <x:v>Био-комплекс</x:v>
      </x:c>
      <x:c r="C168" s="6" t="str">
        <x:v>БИОкоктейль для садовых роз ТМ ВИТАМИНУС</x:v>
      </x:c>
      <x:c r="D168" s="6" t="str">
        <x:v>Средство для растений/почвы</x:v>
      </x:c>
      <x:c r="E168" s="6" t="str">
        <x:v>Розничный каталог</x:v>
      </x:c>
      <x:c r="F168" s="6" t="str">
        <x:v>C06</x:v>
      </x:c>
      <x:c r="G168" s="6" t="str">
        <x:v>13 биодоступных макро и микроэлементов (азот 2%, фосфор 2%, калий 3%, кальций, магний и сера), гуминовые и фульвовые вещества, натуральный экстракт (витамины, каротин, фитонциды, фитостерины, хлорофилл, лигнаны и др.).</x:v>
      </x:c>
      <x:c r="H168" s="6" t="str">
        <x:v>Есть сведения; см. ограничения</x:v>
      </x:c>
      <x:c r="I168" s="6" t="str">
        <x:v>См. карточку</x:v>
      </x:c>
      <x:c r="J168" s="12" t="n">
        <x:v>1</x:v>
      </x:c>
      <x:c r="K168" s="6" t="str">
        <x:v>См. коды и ограничения на листе «Сопоставления»</x:v>
      </x:c>
      <x:c r="L168" s="6"/>
      <x:c r="M168" s="13" t="str">
        <x:v>https://bio-kompleks.ru/catalog/vsya_produktsiya/biokokteyl_dlya_sadovykh_roz_tm_vitaminus/</x:v>
      </x:c>
      <x:c r="N168" s="13"/>
    </x:row>
    <x:row r="169" ht="82" customHeight="1">
      <x:c r="A169" s="9" t="str">
        <x:v>P0164</x:v>
      </x:c>
      <x:c r="B169" s="9" t="str">
        <x:v>Био-комплекс</x:v>
      </x:c>
      <x:c r="C169" s="9" t="str">
        <x:v>БИОкоктейль для смородины, крыжовника и жимолости ТМ ВИТАМИНУС</x:v>
      </x:c>
      <x:c r="D169" s="9" t="str">
        <x:v>Средство для растений/почвы</x:v>
      </x:c>
      <x:c r="E169" s="9" t="str">
        <x:v>Розничный каталог</x:v>
      </x:c>
      <x:c r="F169" s="9" t="str">
        <x:v>C05</x:v>
      </x:c>
      <x:c r="G169" s="9" t="str">
        <x:v>биодоступные макроэлементы (азот 1,5%, фосфор 3%, калий 3%, кальций) и 10 микроэлементов (включая медь, марганец и бор), гуминовые и фульвовые вещества, натуральный экстракт (витамины, каротин, фитонциды, фитостерины, хлорофилл, лигнаны и др.).</x:v>
      </x:c>
      <x:c r="H169" s="9" t="str">
        <x:v>Есть сведения; см. ограничения</x:v>
      </x:c>
      <x:c r="I169" s="9" t="str">
        <x:v>См. карточку</x:v>
      </x:c>
      <x:c r="J169" s="10" t="n">
        <x:v>1</x:v>
      </x:c>
      <x:c r="K169" s="9" t="str">
        <x:v>См. коды и ограничения на листе «Сопоставления»</x:v>
      </x:c>
      <x:c r="L169" s="9"/>
      <x:c r="M169" s="11" t="str">
        <x:v>https://bio-kompleks.ru/catalog/vsya_produktsiya/biokokteyl_dlya_smorodiny_kryzhovnika_i_zhimolosti_tm_vitaminus/</x:v>
      </x:c>
      <x:c r="N169" s="11"/>
    </x:row>
    <x:row r="170" ht="68" customHeight="1">
      <x:c r="A170" s="6" t="str">
        <x:v>P0165</x:v>
      </x:c>
      <x:c r="B170" s="6" t="str">
        <x:v>Био-комплекс</x:v>
      </x:c>
      <x:c r="C170" s="6" t="str">
        <x:v>Биококтейль для спатифиллума, комнатный фэншуй ТМ HAPPY</x:v>
      </x:c>
      <x:c r="D170" s="6" t="str">
        <x:v>Средство для растений/почвы</x:v>
      </x:c>
      <x:c r="E170" s="6" t="str">
        <x:v>Розничный каталог</x:v>
      </x:c>
      <x:c r="F170" s="6" t="str">
        <x:v>C11</x:v>
      </x:c>
      <x:c r="G170" s="6" t="str">
        <x:v>биодоступные макроэлементы (азот, фосфор, калий) и 10 микроэлементов (включая бор и КРЕМНИЙ), гуминовые вещества, янтарная кислота, природный экстракт (витамины, каротин, фитонциды, фитостерины, хлорофилл, лигнаны и др.)</x:v>
      </x:c>
      <x:c r="H170" s="6" t="str">
        <x:v>Есть сведения; см. ограничения</x:v>
      </x:c>
      <x:c r="I170" s="6" t="str">
        <x:v>См. карточку</x:v>
      </x:c>
      <x:c r="J170" s="12" t="n">
        <x:v>1</x:v>
      </x:c>
      <x:c r="K170" s="6" t="str">
        <x:v>См. коды и ограничения на листе «Сопоставления»</x:v>
      </x:c>
      <x:c r="L170" s="6"/>
      <x:c r="M170" s="13" t="str">
        <x:v>https://bio-kompleks.ru/catalog/vsya_produktsiya/biokokteyl-dlya-spatifilluma-komnatnyy-fenshuy-tm-happy/</x:v>
      </x:c>
      <x:c r="N170" s="13"/>
    </x:row>
    <x:row r="171" ht="68" customHeight="1">
      <x:c r="A171" s="9" t="str">
        <x:v>P0166</x:v>
      </x:c>
      <x:c r="B171" s="9" t="str">
        <x:v>Био-комплекс</x:v>
      </x:c>
      <x:c r="C171" s="9" t="str">
        <x:v>Биококтейль для толстянки, комнатный фэншуй ТМ HAPPY</x:v>
      </x:c>
      <x:c r="D171" s="9" t="str">
        <x:v>Средство для растений/почвы</x:v>
      </x:c>
      <x:c r="E171" s="9" t="str">
        <x:v>Розничный каталог</x:v>
      </x:c>
      <x:c r="F171" s="9" t="str">
        <x:v>C11; C15</x:v>
      </x:c>
      <x:c r="G171" s="9" t="str">
        <x:v>биодоступные макроэлементы (азот, фосфор, калий) и 8 микроэлементов (включая цинк и алюминий), гуминовые вещества, натуральный экстракт (витамины, каротин, фитонциды, фитостерины, хлорофилл, лигнаны и др.)</x:v>
      </x:c>
      <x:c r="H171" s="9" t="str">
        <x:v>Есть сведения; см. ограничения</x:v>
      </x:c>
      <x:c r="I171" s="9" t="str">
        <x:v>См. карточку</x:v>
      </x:c>
      <x:c r="J171" s="10" t="n">
        <x:v>1</x:v>
      </x:c>
      <x:c r="K171" s="9" t="str">
        <x:v>См. коды и ограничения на листе «Сопоставления»</x:v>
      </x:c>
      <x:c r="L171" s="9"/>
      <x:c r="M171" s="11" t="str">
        <x:v>https://bio-kompleks.ru/catalog/vsya_produktsiya/biokokteyl-dlya-tolstyanki-komnatnyy-fenshuy-tm-happy/</x:v>
      </x:c>
      <x:c r="N171" s="11"/>
    </x:row>
    <x:row r="172" ht="82" customHeight="1">
      <x:c r="A172" s="6" t="str">
        <x:v>P0167</x:v>
      </x:c>
      <x:c r="B172" s="6" t="str">
        <x:v>Био-комплекс</x:v>
      </x:c>
      <x:c r="C172" s="6" t="str">
        <x:v>БИОкоктейль для томатов, перцев, баклажанов ТМ Витаминус</x:v>
      </x:c>
      <x:c r="D172" s="6" t="str">
        <x:v>Средство для растений/почвы</x:v>
      </x:c>
      <x:c r="E172" s="6" t="str">
        <x:v>Розничный каталог</x:v>
      </x:c>
      <x:c r="F172" s="6" t="str">
        <x:v>C02</x:v>
      </x:c>
      <x:c r="G172" s="6" t="str">
        <x:v>биодоступные макроэлементы (азот 1,5%, фосфор 3%, калий 3,5%) и 11 микроэлементов (включая бор, кальций, магний), гуминовые и фульвовые вещества, янтарная кислота, натуральный экстракт (витамины, аминокислоты, каротин, фитонциды, фитостерины, хлорофилл, лигнаны и др.).</x:v>
      </x:c>
      <x:c r="H172" s="6" t="str">
        <x:v>Есть сведения; см. ограничения</x:v>
      </x:c>
      <x:c r="I172" s="6" t="str">
        <x:v>См. карточку</x:v>
      </x:c>
      <x:c r="J172" s="12" t="n">
        <x:v>1</x:v>
      </x:c>
      <x:c r="K172" s="6" t="str">
        <x:v>См. коды и ограничения на листе «Сопоставления»</x:v>
      </x:c>
      <x:c r="L172" s="6"/>
      <x:c r="M172" s="13" t="str">
        <x:v>https://bio-kompleks.ru/catalog/vsya_produktsiya/biokokteyl_dlya_tomatov_pertsev_baklazhanov_tm_vitaminus/</x:v>
      </x:c>
      <x:c r="N172" s="13"/>
    </x:row>
    <x:row r="173" ht="68" customHeight="1">
      <x:c r="A173" s="9" t="str">
        <x:v>P0168</x:v>
      </x:c>
      <x:c r="B173" s="9" t="str">
        <x:v>Био-комплекс</x:v>
      </x:c>
      <x:c r="C173" s="9" t="str">
        <x:v>Биококтейль для фиалки, комнатный фэншуй ТМ HAPPY</x:v>
      </x:c>
      <x:c r="D173" s="9" t="str">
        <x:v>Средство для растений/почвы</x:v>
      </x:c>
      <x:c r="E173" s="9" t="str">
        <x:v>Розничный каталог</x:v>
      </x:c>
      <x:c r="F173" s="9" t="str">
        <x:v>C11; C14</x:v>
      </x:c>
      <x:c r="G173" s="9" t="str">
        <x:v>биодоступные макроэлементы (азот, фосфор, калий) и 9 микроэлементов (включая бор и кальций), гуминовые вещества, натуральный экстракт (витамины, каротин, фитонциды, фитостерины, хлорофилл, лигнаны и др.)</x:v>
      </x:c>
      <x:c r="H173" s="9" t="str">
        <x:v>Есть сведения; см. ограничения</x:v>
      </x:c>
      <x:c r="I173" s="9" t="str">
        <x:v>См. карточку</x:v>
      </x:c>
      <x:c r="J173" s="10" t="n">
        <x:v>1</x:v>
      </x:c>
      <x:c r="K173" s="9" t="str">
        <x:v>См. коды и ограничения на листе «Сопоставления»</x:v>
      </x:c>
      <x:c r="L173" s="9"/>
      <x:c r="M173" s="11" t="str">
        <x:v>https://bio-kompleks.ru/catalog/vsya_produktsiya/biokokteyl-dlya-fialki-komnatnyy-fenshuy-tm-happy/</x:v>
      </x:c>
      <x:c r="N173" s="11"/>
    </x:row>
    <x:row r="174" ht="82" customHeight="1">
      <x:c r="A174" s="6" t="str">
        <x:v>P0169</x:v>
      </x:c>
      <x:c r="B174" s="6" t="str">
        <x:v>Био-комплекс</x:v>
      </x:c>
      <x:c r="C174" s="6" t="str">
        <x:v>БИОкоктейль для хвойных ТМ БИОША</x:v>
      </x:c>
      <x:c r="D174" s="6" t="str">
        <x:v>Средство для растений/почвы</x:v>
      </x:c>
      <x:c r="E174" s="6" t="str">
        <x:v>Розничный каталог</x:v>
      </x:c>
      <x:c r="F174" s="6" t="str">
        <x:v>C09</x:v>
      </x:c>
      <x:c r="G174" s="6" t="str">
        <x:v>биодоступные макроэлементы (азот, фосфор, калий) и 10 микроэлементов (включая магний и медь), гуминовые и фульвовые вещества, натуральный экстракт (витамины, каротин, фитонциды, фитостерины, хлорофилл, лигнаны и др.), янтарная кислота.</x:v>
      </x:c>
      <x:c r="H174" s="6" t="str">
        <x:v>Есть сведения; см. ограничения</x:v>
      </x:c>
      <x:c r="I174" s="6" t="str">
        <x:v>См. карточку</x:v>
      </x:c>
      <x:c r="J174" s="12" t="n">
        <x:v>1</x:v>
      </x:c>
      <x:c r="K174" s="6" t="str">
        <x:v>См. коды и ограничения на листе «Сопоставления»</x:v>
      </x:c>
      <x:c r="L174" s="6"/>
      <x:c r="M174" s="13" t="str">
        <x:v>https://bio-kompleks.ru/catalog/vsya_produktsiya/biokokteyl-dlya-khvoynykh-tm-biosha/</x:v>
      </x:c>
      <x:c r="N174" s="13"/>
    </x:row>
    <x:row r="175" ht="82" customHeight="1">
      <x:c r="A175" s="9" t="str">
        <x:v>P0170</x:v>
      </x:c>
      <x:c r="B175" s="9" t="str">
        <x:v>Био-комплекс</x:v>
      </x:c>
      <x:c r="C175" s="9" t="str">
        <x:v>Биококтейль для цитрусовых, комнатный фэншуй ТМ HAPPY</x:v>
      </x:c>
      <x:c r="D175" s="9" t="str">
        <x:v>Средство для растений/почвы</x:v>
      </x:c>
      <x:c r="E175" s="9" t="str">
        <x:v>Розничный каталог</x:v>
      </x:c>
      <x:c r="F175" s="9" t="str">
        <x:v>C11; C16</x:v>
      </x:c>
      <x:c r="G175" s="9" t="str">
        <x:v>биодоступные макроэлементы (азот, фосфор, калий) и 11 микроэлементов (включая марганец и бор), гуминовые вещества, янтарная кислота, природный экстракт (витамины, каротин, фитонциды, фитостерины, хлорофилл, лигнаны и др.)</x:v>
      </x:c>
      <x:c r="H175" s="9" t="str">
        <x:v>Есть сведения; см. ограничения</x:v>
      </x:c>
      <x:c r="I175" s="9" t="str">
        <x:v>См. карточку</x:v>
      </x:c>
      <x:c r="J175" s="10" t="n">
        <x:v>1</x:v>
      </x:c>
      <x:c r="K175" s="9" t="str">
        <x:v>См. коды и ограничения на листе «Сопоставления»</x:v>
      </x:c>
      <x:c r="L175" s="9"/>
      <x:c r="M175" s="11" t="str">
        <x:v>https://bio-kompleks.ru/catalog/vsya_produktsiya/biokokteyl-dlya-tsitrusovykh-komnatnyy-fenshuy-tm-happy/</x:v>
      </x:c>
      <x:c r="N175" s="11"/>
    </x:row>
    <x:row r="176" ht="68" customHeight="1">
      <x:c r="A176" s="6" t="str">
        <x:v>P0171</x:v>
      </x:c>
      <x:c r="B176" s="6" t="str">
        <x:v>Био-комплекс</x:v>
      </x:c>
      <x:c r="C176" s="6" t="str">
        <x:v>БИОкоктейль Здоровая листва для комнатных растений ТМ HAPPY</x:v>
      </x:c>
      <x:c r="D176" s="6" t="str">
        <x:v>Средство для растений/почвы</x:v>
      </x:c>
      <x:c r="E176" s="6" t="str">
        <x:v>Розничный каталог</x:v>
      </x:c>
      <x:c r="F176" s="6" t="str">
        <x:v>C11</x:v>
      </x:c>
      <x:c r="G176" s="6" t="str">
        <x:v>биодоступные макроэлементы (азот, фосфор, калий) и 9 микроэлементов (включая кальций и железо), гуминовые и фульвовые вещества, натуральный экстракт (витамины, каротин, фитонциды, фитостерины, хлорофилл, лигнаны и др.)</x:v>
      </x:c>
      <x:c r="H176" s="6" t="str">
        <x:v>Есть сведения; см. ограничения</x:v>
      </x:c>
      <x:c r="I176" s="6" t="str">
        <x:v>См. карточку</x:v>
      </x:c>
      <x:c r="J176" s="12" t="n">
        <x:v>1</x:v>
      </x:c>
      <x:c r="K176" s="6" t="str">
        <x:v>См. коды и ограничения на листе «Сопоставления»</x:v>
      </x:c>
      <x:c r="L176" s="6"/>
      <x:c r="M176" s="13" t="str">
        <x:v>https://bio-kompleks.ru/catalog/vsya_produktsiya/biokokteyl_zdorovaya_listva_dlya_komnatnykh_rasteniy_tm_happy/</x:v>
      </x:c>
      <x:c r="N176" s="13"/>
    </x:row>
    <x:row r="177" ht="68" customHeight="1">
      <x:c r="A177" s="9" t="str">
        <x:v>P0172</x:v>
      </x:c>
      <x:c r="B177" s="9" t="str">
        <x:v>Био-комплекс</x:v>
      </x:c>
      <x:c r="C177" s="9" t="str">
        <x:v>БИОкоктейль Здоровая листва для комнатных растений ТМ БИОША</x:v>
      </x:c>
      <x:c r="D177" s="9" t="str">
        <x:v>Средство для растений/почвы</x:v>
      </x:c>
      <x:c r="E177" s="9" t="str">
        <x:v>Розничный каталог</x:v>
      </x:c>
      <x:c r="F177" s="9" t="str">
        <x:v>C11</x:v>
      </x:c>
      <x:c r="G177" s="9" t="str">
        <x:v>биодоступные макроэлементы (азот, фосфор, калий) и 9 микроэлементов (включая кальций и железо), гуминовые и фульвовые вещества, натуральный экстракт (витамины, каротин, фитонциды, фитостерины, хлорофилл, лигнаны и др.)</x:v>
      </x:c>
      <x:c r="H177" s="9" t="str">
        <x:v>Есть сведения; см. ограничения</x:v>
      </x:c>
      <x:c r="I177" s="9" t="str">
        <x:v>См. карточку</x:v>
      </x:c>
      <x:c r="J177" s="10" t="n">
        <x:v>1</x:v>
      </x:c>
      <x:c r="K177" s="9" t="str">
        <x:v>См. коды и ограничения на листе «Сопоставления»</x:v>
      </x:c>
      <x:c r="L177" s="9"/>
      <x:c r="M177" s="11" t="str">
        <x:v>https://bio-kompleks.ru/catalog/vsya_produktsiya/biokokteyl-zdorovaya-listva-dlya-komnatnykh-rasteniy-tm-biosha/</x:v>
      </x:c>
      <x:c r="N177" s="11"/>
    </x:row>
    <x:row r="178" ht="68" customHeight="1">
      <x:c r="A178" s="6" t="str">
        <x:v>P0173</x:v>
      </x:c>
      <x:c r="B178" s="6" t="str">
        <x:v>Био-комплекс</x:v>
      </x:c>
      <x:c r="C178" s="6" t="str">
        <x:v>Биококтейль ОСЕННИЙ</x:v>
      </x:c>
      <x:c r="D178" s="6" t="str">
        <x:v>Средство для растений/почвы</x:v>
      </x:c>
      <x:c r="E178" s="6" t="str">
        <x:v>Розничный каталог</x:v>
      </x:c>
      <x:c r="F178" s="6" t="str">
        <x:v>C21</x:v>
      </x:c>
      <x:c r="G178" s="6" t="str">
        <x:v>Биодоступные макроэлементы (фосфор, калий) и 10 микроэлементов (включая цинк и кобальт), гуминовые и фульвовые вещества, натуральный экстракт (витамины, каротин, фитонциды, фитостерины, хлорофилл, лигнаны и др.).</x:v>
      </x:c>
      <x:c r="H178" s="6" t="str">
        <x:v>Есть сведения; см. ограничения</x:v>
      </x:c>
      <x:c r="I178" s="6" t="str">
        <x:v>См. карточку</x:v>
      </x:c>
      <x:c r="J178" s="12" t="n">
        <x:v>1</x:v>
      </x:c>
      <x:c r="K178" s="6" t="str">
        <x:v>См. коды и ограничения на листе «Сопоставления»</x:v>
      </x:c>
      <x:c r="L178" s="6"/>
      <x:c r="M178" s="13" t="str">
        <x:v>https://bio-kompleks.ru/catalog/vsya_produktsiya/biokokteyl-osenniy/</x:v>
      </x:c>
      <x:c r="N178" s="13"/>
    </x:row>
    <x:row r="179" ht="82" customHeight="1">
      <x:c r="A179" s="9" t="str">
        <x:v>P0174</x:v>
      </x:c>
      <x:c r="B179" s="9" t="str">
        <x:v>Био-комплекс</x:v>
      </x:c>
      <x:c r="C179" s="9" t="str">
        <x:v>Биококтейль Пышное цветение для комнатных растений ТМ HAPPY</x:v>
      </x:c>
      <x:c r="D179" s="9" t="str">
        <x:v>Средство для растений/почвы</x:v>
      </x:c>
      <x:c r="E179" s="9" t="str">
        <x:v>Розничный каталог</x:v>
      </x:c>
      <x:c r="F179" s="9" t="str">
        <x:v>C11; C17</x:v>
      </x:c>
      <x:c r="G179" s="9" t="str">
        <x:v>биодоступные макроэлементы (азот 2%, фосфор 3%, калий 3%, кальций) и 9 микроэлементов (включая бор), гуминовые вещества, природный экстракт (витамины, аминокислоты, каротин, фитонциды, фитостерины, хлорофилл, лигнаны и др.).</x:v>
      </x:c>
      <x:c r="H179" s="9" t="str">
        <x:v>Есть сведения; см. ограничения</x:v>
      </x:c>
      <x:c r="I179" s="9" t="str">
        <x:v>См. карточку</x:v>
      </x:c>
      <x:c r="J179" s="10" t="n">
        <x:v>1</x:v>
      </x:c>
      <x:c r="K179" s="9" t="str">
        <x:v>См. коды и ограничения на листе «Сопоставления»</x:v>
      </x:c>
      <x:c r="L179" s="9"/>
      <x:c r="M179" s="11" t="str">
        <x:v>https://bio-kompleks.ru/catalog/vsya_produktsiya/biokokteyl_pyshnoe_tsvetenie_dlya_komnatnykh_rasteniy_tm_happy/</x:v>
      </x:c>
      <x:c r="N179" s="11"/>
    </x:row>
    <x:row r="180" ht="82" customHeight="1">
      <x:c r="A180" s="6" t="str">
        <x:v>P0175</x:v>
      </x:c>
      <x:c r="B180" s="6" t="str">
        <x:v>Био-комплекс</x:v>
      </x:c>
      <x:c r="C180" s="6" t="str">
        <x:v>Биококтейль универсальный ТМ ВитаминУС</x:v>
      </x:c>
      <x:c r="D180" s="6" t="str">
        <x:v>Средство для растений/почвы</x:v>
      </x:c>
      <x:c r="E180" s="6" t="str">
        <x:v>Розничный каталог</x:v>
      </x:c>
      <x:c r="F180" s="6" t="str">
        <x:v>C01</x:v>
      </x:c>
      <x:c r="G180" s="6" t="str">
        <x:v>биодоступные макроэлементы ( азот 3%, фосфор 3%, калий 3%, магний ) и 10 микроэлементов (включая бор ), гуминовые и фульвовые вещества, янтарная кислота, натуральный экстракт (витамины, каротин, фитонциды, фитостерины, хлорофилл, лигнаны и др).</x:v>
      </x:c>
      <x:c r="H180" s="6" t="str">
        <x:v>Есть сведения; см. ограничения</x:v>
      </x:c>
      <x:c r="I180" s="6" t="str">
        <x:v>См. карточку</x:v>
      </x:c>
      <x:c r="J180" s="12" t="n">
        <x:v>1</x:v>
      </x:c>
      <x:c r="K180" s="6" t="str">
        <x:v>См. коды и ограничения на листе «Сопоставления»</x:v>
      </x:c>
      <x:c r="L180" s="6"/>
      <x:c r="M180" s="13" t="str">
        <x:v>https://bio-kompleks.ru/catalog/vsya_produktsiya/biokokteyl_universalnyy_tm_vitaminus/</x:v>
      </x:c>
      <x:c r="N180" s="13"/>
    </x:row>
    <x:row r="181" ht="68" customHeight="1">
      <x:c r="A181" s="9" t="str">
        <x:v>P0176</x:v>
      </x:c>
      <x:c r="B181" s="9" t="str">
        <x:v>Био-комплекс</x:v>
      </x:c>
      <x:c r="C181" s="9" t="str">
        <x:v>Биостим Рост, стимулятор роста</x:v>
      </x:c>
      <x:c r="D181" s="9" t="str">
        <x:v>Средство для растений/почвы</x:v>
      </x:c>
      <x:c r="E181" s="9" t="str">
        <x:v>В продаже у Био-комплекса; производитель не приписан</x:v>
      </x:c>
      <x:c r="F181" s="9" t="str">
        <x:v>G01</x:v>
      </x:c>
      <x:c r="G181" s="9" t="str">
        <x:v>Количественный состав в прочитанном тексте не найден; см. карточку</x:v>
      </x:c>
      <x:c r="H181" s="9" t="str">
        <x:v>Полного состава нет в тексте</x:v>
      </x:c>
      <x:c r="I181" s="9" t="str">
        <x:v>См. карточку</x:v>
      </x:c>
      <x:c r="J181" s="10" t="n">
        <x:v>1</x:v>
      </x:c>
      <x:c r="K181" s="9" t="str">
        <x:v>См. коды и ограничения на листе «Сопоставления»</x:v>
      </x:c>
      <x:c r="L181" s="9"/>
      <x:c r="M181" s="11" t="str">
        <x:v>https://bio-kompleks.ru/catalog/vsya_produktsiya/biostim_rost_stimulyator_rosta_fl_10_ml/</x:v>
      </x:c>
      <x:c r="N181" s="11"/>
    </x:row>
    <x:row r="182" ht="68" customHeight="1">
      <x:c r="A182" s="6" t="str">
        <x:v>P0177</x:v>
      </x:c>
      <x:c r="B182" s="6" t="str">
        <x:v>Био-комплекс</x:v>
      </x:c>
      <x:c r="C182" s="6" t="str">
        <x:v>Биостим Старт, стимулятор для семян и рассады</x:v>
      </x:c>
      <x:c r="D182" s="6" t="str">
        <x:v>Средство для растений/почвы</x:v>
      </x:c>
      <x:c r="E182" s="6" t="str">
        <x:v>В продаже у Био-комплекса; производитель не приписан</x:v>
      </x:c>
      <x:c r="F182" s="6" t="str">
        <x:v>G01; G10; G40</x:v>
      </x:c>
      <x:c r="G182" s="6" t="str">
        <x:v>Количественный состав в прочитанном тексте не найден; см. карточку</x:v>
      </x:c>
      <x:c r="H182" s="6" t="str">
        <x:v>Полного состава нет в тексте</x:v>
      </x:c>
      <x:c r="I182" s="6" t="str">
        <x:v>См. карточку</x:v>
      </x:c>
      <x:c r="J182" s="12" t="n">
        <x:v>1</x:v>
      </x:c>
      <x:c r="K182" s="6" t="str">
        <x:v>См. коды и ограничения на листе «Сопоставления»</x:v>
      </x:c>
      <x:c r="L182" s="6"/>
      <x:c r="M182" s="13" t="str">
        <x:v>https://bio-kompleks.ru/catalog/vsya_produktsiya/biostim_start_stimulyator_dlya_semyan_i_rassady_fl_10_ml/</x:v>
      </x:c>
      <x:c r="N182" s="13"/>
    </x:row>
    <x:row r="183" ht="68" customHeight="1">
      <x:c r="A183" s="9" t="str">
        <x:v>P0178</x:v>
      </x:c>
      <x:c r="B183" s="9" t="str">
        <x:v>Био-комплекс</x:v>
      </x:c>
      <x:c r="C183" s="9" t="str">
        <x:v>Биостим Универсал, стимулятор от стрессов</x:v>
      </x:c>
      <x:c r="D183" s="9" t="str">
        <x:v>Средство для растений/почвы</x:v>
      </x:c>
      <x:c r="E183" s="9" t="str">
        <x:v>В продаже у Био-комплекса; производитель не приписан</x:v>
      </x:c>
      <x:c r="F183" s="9" t="str">
        <x:v>G01</x:v>
      </x:c>
      <x:c r="G183" s="9" t="str">
        <x:v>Количественный состав в прочитанном тексте не найден; см. карточку</x:v>
      </x:c>
      <x:c r="H183" s="9" t="str">
        <x:v>Полного состава нет в тексте</x:v>
      </x:c>
      <x:c r="I183" s="9" t="str">
        <x:v>См. карточку</x:v>
      </x:c>
      <x:c r="J183" s="10" t="n">
        <x:v>1</x:v>
      </x:c>
      <x:c r="K183" s="9" t="str">
        <x:v>См. коды и ограничения на листе «Сопоставления»</x:v>
      </x:c>
      <x:c r="L183" s="9"/>
      <x:c r="M183" s="11" t="str">
        <x:v>https://bio-kompleks.ru/catalog/vsya_produktsiya/biostim_universal_stimulyator_ot_stressov_fl_25_ml/</x:v>
      </x:c>
      <x:c r="N183" s="11"/>
    </x:row>
    <x:row r="184" ht="68" customHeight="1">
      <x:c r="A184" s="6" t="str">
        <x:v>P0179</x:v>
      </x:c>
      <x:c r="B184" s="6" t="str">
        <x:v>Био-комплекс</x:v>
      </x:c>
      <x:c r="C184" s="6" t="str">
        <x:v>Бриг, КС от сорняков на овощных культурах</x:v>
      </x:c>
      <x:c r="D184" s="6" t="str">
        <x:v>Средство для растений/почвы</x:v>
      </x:c>
      <x:c r="E184" s="6" t="str">
        <x:v>В продаже у Био-комплекса; производитель не приписан</x:v>
      </x:c>
      <x:c r="F184" s="6" t="str">
        <x:v>—</x:v>
      </x:c>
      <x:c r="G184" s="6" t="str">
        <x:v>Количественный состав в прочитанном тексте не найден; см. карточку</x:v>
      </x:c>
      <x:c r="H184" s="6" t="str">
        <x:v>Полного состава нет в тексте</x:v>
      </x:c>
      <x:c r="I184" s="6" t="str">
        <x:v>См. карточку</x:v>
      </x:c>
      <x:c r="J184" s="12" t="n">
        <x:v>1</x:v>
      </x:c>
      <x:c r="K184" s="6" t="str">
        <x:v>Близкий аналог не подтвержден</x:v>
      </x:c>
      <x:c r="L184" s="6"/>
      <x:c r="M184" s="13" t="str">
        <x:v>https://bio-kompleks.ru/catalog/vsya_produktsiya/brig_ks_ot_sornyakov_na_ovoshchnykh_kulturakh/</x:v>
      </x:c>
      <x:c r="N184" s="13"/>
    </x:row>
    <x:row r="185" ht="68" customHeight="1">
      <x:c r="A185" s="9" t="str">
        <x:v>P0180</x:v>
      </x:c>
      <x:c r="B185" s="9" t="str">
        <x:v>Био-комплекс</x:v>
      </x:c>
      <x:c r="C185" s="9" t="str">
        <x:v>Гиббера, ВР стимулятор плодообразования</x:v>
      </x:c>
      <x:c r="D185" s="9" t="str">
        <x:v>Средство для растений/почвы</x:v>
      </x:c>
      <x:c r="E185" s="9" t="str">
        <x:v>В продаже у Био-комплекса; производитель не приписан</x:v>
      </x:c>
      <x:c r="F185" s="9" t="str">
        <x:v>G38</x:v>
      </x:c>
      <x:c r="G185" s="9" t="str">
        <x:v>Количественный состав в прочитанном тексте не найден; см. карточку</x:v>
      </x:c>
      <x:c r="H185" s="9" t="str">
        <x:v>Полного состава нет в тексте</x:v>
      </x:c>
      <x:c r="I185" s="9" t="str">
        <x:v>См. карточку</x:v>
      </x:c>
      <x:c r="J185" s="10" t="n">
        <x:v>1</x:v>
      </x:c>
      <x:c r="K185" s="9" t="str">
        <x:v>См. коды и ограничения на листе «Сопоставления»</x:v>
      </x:c>
      <x:c r="L185" s="9"/>
      <x:c r="M185" s="11" t="str">
        <x:v>https://bio-kompleks.ru/catalog/vsya_produktsiya/gibbera_vr_stimulyator_plodoobrazovaniya/</x:v>
      </x:c>
      <x:c r="N185" s="11"/>
    </x:row>
    <x:row r="186" ht="68" customHeight="1">
      <x:c r="A186" s="6" t="str">
        <x:v>P0181</x:v>
      </x:c>
      <x:c r="B186" s="6" t="str">
        <x:v>Био-комплекс</x:v>
      </x:c>
      <x:c r="C186" s="6" t="str">
        <x:v>Гумат калия "СУФЛЕР", удобрение для овощных</x:v>
      </x:c>
      <x:c r="D186" s="6" t="str">
        <x:v>Средство для растений/почвы</x:v>
      </x:c>
      <x:c r="E186" s="6" t="str">
        <x:v>В продаже у Био-комплекса; производитель не приписан</x:v>
      </x:c>
      <x:c r="F186" s="6" t="str">
        <x:v>G02; G39</x:v>
      </x:c>
      <x:c r="G186" s="6" t="str">
        <x:v>Количественный состав в прочитанном тексте не найден; см. карточку</x:v>
      </x:c>
      <x:c r="H186" s="6" t="str">
        <x:v>Полного состава нет в тексте</x:v>
      </x:c>
      <x:c r="I186" s="6" t="str">
        <x:v>См. карточку</x:v>
      </x:c>
      <x:c r="J186" s="12" t="n">
        <x:v>1</x:v>
      </x:c>
      <x:c r="K186" s="6" t="str">
        <x:v>См. коды и ограничения на листе «Сопоставления»</x:v>
      </x:c>
      <x:c r="L186" s="6"/>
      <x:c r="M186" s="13" t="str">
        <x:v>https://bio-kompleks.ru/catalog/vsya_produktsiya/gumat_kaliya_sufler_udobrenie_dlya_ovoshchnykh_fl_500_ml/</x:v>
      </x:c>
      <x:c r="N186" s="13"/>
    </x:row>
    <x:row r="187" ht="68" customHeight="1">
      <x:c r="A187" s="9" t="str">
        <x:v>P0182</x:v>
      </x:c>
      <x:c r="B187" s="9" t="str">
        <x:v>Био-комплекс</x:v>
      </x:c>
      <x:c r="C187" s="9" t="str">
        <x:v>Гумат калия "СУФЛЕР", удобрение для плодово-ягодных</x:v>
      </x:c>
      <x:c r="D187" s="9" t="str">
        <x:v>Средство для растений/почвы</x:v>
      </x:c>
      <x:c r="E187" s="9" t="str">
        <x:v>В продаже у Био-комплекса; производитель не приписан</x:v>
      </x:c>
      <x:c r="F187" s="9" t="str">
        <x:v>G02; G39</x:v>
      </x:c>
      <x:c r="G187" s="9" t="str">
        <x:v>Количественный состав в прочитанном тексте не найден; см. карточку</x:v>
      </x:c>
      <x:c r="H187" s="9" t="str">
        <x:v>Полного состава нет в тексте</x:v>
      </x:c>
      <x:c r="I187" s="9" t="str">
        <x:v>См. карточку</x:v>
      </x:c>
      <x:c r="J187" s="10" t="n">
        <x:v>1</x:v>
      </x:c>
      <x:c r="K187" s="9" t="str">
        <x:v>См. коды и ограничения на листе «Сопоставления»</x:v>
      </x:c>
      <x:c r="L187" s="9"/>
      <x:c r="M187" s="11" t="str">
        <x:v>https://bio-kompleks.ru/catalog/vsya_produktsiya/gumat_kaliya_sufler_udobrenie_dlya_plodovo_yagodnykh_fl_500_ml/</x:v>
      </x:c>
      <x:c r="N187" s="11"/>
    </x:row>
    <x:row r="188" ht="68" customHeight="1">
      <x:c r="A188" s="6" t="str">
        <x:v>P0183</x:v>
      </x:c>
      <x:c r="B188" s="6" t="str">
        <x:v>Био-комплекс</x:v>
      </x:c>
      <x:c r="C188" s="6" t="str">
        <x:v>Гумат калия "СУФЛЕР", удобрение для цветочно-декор</x:v>
      </x:c>
      <x:c r="D188" s="6" t="str">
        <x:v>Средство для растений/почвы</x:v>
      </x:c>
      <x:c r="E188" s="6" t="str">
        <x:v>В продаже у Био-комплекса; производитель не приписан</x:v>
      </x:c>
      <x:c r="F188" s="6" t="str">
        <x:v>G02; G39</x:v>
      </x:c>
      <x:c r="G188" s="6" t="str">
        <x:v>Количественный состав в прочитанном тексте не найден; см. карточку</x:v>
      </x:c>
      <x:c r="H188" s="6" t="str">
        <x:v>Полного состава нет в тексте</x:v>
      </x:c>
      <x:c r="I188" s="6" t="str">
        <x:v>См. карточку</x:v>
      </x:c>
      <x:c r="J188" s="12" t="n">
        <x:v>1</x:v>
      </x:c>
      <x:c r="K188" s="6" t="str">
        <x:v>См. коды и ограничения на листе «Сопоставления»</x:v>
      </x:c>
      <x:c r="L188" s="6"/>
      <x:c r="M188" s="13" t="str">
        <x:v>https://bio-kompleks.ru/catalog/vsya_produktsiya/gumat_kaliya_sufler_udobrenie_dlya_tsvetochno_dekor_fl_500_ml/</x:v>
      </x:c>
      <x:c r="N188" s="13"/>
    </x:row>
    <x:row r="189" ht="124" customHeight="1">
      <x:c r="A189" s="9" t="str">
        <x:v>P0184</x:v>
      </x:c>
      <x:c r="B189" s="9" t="str">
        <x:v>Био-комплекс</x:v>
      </x:c>
      <x:c r="C189" s="9" t="str">
        <x:v>Дамба, ВР от сорняков на газоне</x:v>
      </x:c>
      <x:c r="D189" s="9" t="str">
        <x:v>Средство для растений/почвы</x:v>
      </x:c>
      <x:c r="E189" s="9" t="str">
        <x:v>В продаже у Био-комплекса; производитель не приписан</x:v>
      </x:c>
      <x:c r="F189" s="9" t="str">
        <x:v>—</x:v>
      </x:c>
      <x:c r="G189" s="9" t="str">
        <x:v>проникает в ткани сорных растений через листья, стебли и корневую систему, перемещается по всему растению. Вызывает нарушение гормонального баланса в растении, угнетает процесс фотосинтеза, увеличивает скорость деления клеток, ускоряет процессы дыхания. В результате нормальный рост клеток и развитие всего растения нарушаются, что приводит к скручиванию сорняков, потере тургора и их гибели. Результат Уничтожены все виды… (сокращено)</x:v>
      </x:c>
      <x:c r="H189" s="9" t="str">
        <x:v>Есть сведения; см. ограничения</x:v>
      </x:c>
      <x:c r="I189" s="9" t="str">
        <x:v>См. карточку</x:v>
      </x:c>
      <x:c r="J189" s="10" t="n">
        <x:v>1</x:v>
      </x:c>
      <x:c r="K189" s="9" t="str">
        <x:v>Близкий аналог не подтвержден</x:v>
      </x:c>
      <x:c r="L189" s="9"/>
      <x:c r="M189" s="11" t="str">
        <x:v>https://bio-kompleks.ru/catalog/vsya_produktsiya/damba_vr_ot_sornyakov_na_gazone/</x:v>
      </x:c>
      <x:c r="N189" s="11"/>
    </x:row>
    <x:row r="190" ht="68" customHeight="1">
      <x:c r="A190" s="6" t="str">
        <x:v>P0185</x:v>
      </x:c>
      <x:c r="B190" s="6" t="str">
        <x:v>Био-комплекс</x:v>
      </x:c>
      <x:c r="C190" s="6" t="str">
        <x:v>ДАЧНЫЙ ПОМОЩНИК, Зеленое мыло (калиевое), пульверизатор</x:v>
      </x:c>
      <x:c r="D190" s="6" t="str">
        <x:v>Средство для растений/почвы</x:v>
      </x:c>
      <x:c r="E190" s="6" t="str">
        <x:v>Розничный каталог</x:v>
      </x:c>
      <x:c r="F190" s="6" t="str">
        <x:v>G06</x:v>
      </x:c>
      <x:c r="G190" s="6" t="str">
        <x:v>Вода, калийные соли жирных кислот.</x:v>
      </x:c>
      <x:c r="H190" s="6" t="str">
        <x:v>Есть сведения; см. ограничения</x:v>
      </x:c>
      <x:c r="I190" s="6" t="str">
        <x:v>Готовый спрей</x:v>
      </x:c>
      <x:c r="J190" s="12" t="n">
        <x:v>1</x:v>
      </x:c>
      <x:c r="K190" s="6" t="str">
        <x:v>См. коды и ограничения на листе «Сопоставления»</x:v>
      </x:c>
      <x:c r="L190" s="6"/>
      <x:c r="M190" s="13" t="str">
        <x:v>https://bio-kompleks.ru/catalog/vsya_produktsiya/dachnyy_pomoshchnik_zelenoe_mylo_kalievoe_pulverizator/</x:v>
      </x:c>
      <x:c r="N190" s="13"/>
    </x:row>
    <x:row r="191" ht="68" customHeight="1">
      <x:c r="A191" s="9" t="str">
        <x:v>P0186</x:v>
      </x:c>
      <x:c r="B191" s="9" t="str">
        <x:v>Био-комплекс</x:v>
      </x:c>
      <x:c r="C191" s="9" t="str">
        <x:v>ДАЧНЫЙ ПОМОЩНИК, Сила железа (Железный купорос)</x:v>
      </x:c>
      <x:c r="D191" s="9" t="str">
        <x:v>Средство для растений/почвы</x:v>
      </x:c>
      <x:c r="E191" s="9" t="str">
        <x:v>Розничный каталог</x:v>
      </x:c>
      <x:c r="F191" s="9" t="str">
        <x:v>—</x:v>
      </x:c>
      <x:c r="G191" s="9" t="str">
        <x:v>сульфат железа.</x:v>
      </x:c>
      <x:c r="H191" s="9" t="str">
        <x:v>Есть сведения; см. ограничения</x:v>
      </x:c>
      <x:c r="I191" s="9" t="str">
        <x:v>См. карточку</x:v>
      </x:c>
      <x:c r="J191" s="10" t="n">
        <x:v>1</x:v>
      </x:c>
      <x:c r="K191" s="9" t="str">
        <x:v>Близкий аналог не подтвержден</x:v>
      </x:c>
      <x:c r="L191" s="9"/>
      <x:c r="M191" s="11" t="str">
        <x:v>https://bio-kompleks.ru/catalog/vsya_produktsiya/dachnyy-pomoshchnik-sila-zheleza-zheleznyy-kuporos/</x:v>
      </x:c>
      <x:c r="N191" s="11"/>
    </x:row>
    <x:row r="192" ht="68" customHeight="1">
      <x:c r="A192" s="6" t="str">
        <x:v>P0187</x:v>
      </x:c>
      <x:c r="B192" s="6" t="str">
        <x:v>Био-комплекс</x:v>
      </x:c>
      <x:c r="C192" s="6" t="str">
        <x:v>ДАЧНЫЙ ПОМОЩНИК, Сила меди (Медный купорос 99%)</x:v>
      </x:c>
      <x:c r="D192" s="6" t="str">
        <x:v>Средство для растений/почвы</x:v>
      </x:c>
      <x:c r="E192" s="6" t="str">
        <x:v>Розничный каталог</x:v>
      </x:c>
      <x:c r="F192" s="6" t="str">
        <x:v>—</x:v>
      </x:c>
      <x:c r="G192" s="6" t="str">
        <x:v>медный купорос (сульфат меди).</x:v>
      </x:c>
      <x:c r="H192" s="6" t="str">
        <x:v>Есть сведения; см. ограничения</x:v>
      </x:c>
      <x:c r="I192" s="6" t="str">
        <x:v>См. карточку</x:v>
      </x:c>
      <x:c r="J192" s="12" t="n">
        <x:v>1</x:v>
      </x:c>
      <x:c r="K192" s="6" t="str">
        <x:v>Близкий аналог не подтвержден</x:v>
      </x:c>
      <x:c r="L192" s="6"/>
      <x:c r="M192" s="13" t="str">
        <x:v>https://bio-kompleks.ru/catalog/vsya_produktsiya/dachnyy-pomoshchnik-sila-medi-mednyy-kuporos-99-/</x:v>
      </x:c>
      <x:c r="N192" s="13"/>
    </x:row>
    <x:row r="193" ht="68" customHeight="1">
      <x:c r="A193" s="9" t="str">
        <x:v>P0188</x:v>
      </x:c>
      <x:c r="B193" s="9" t="str">
        <x:v>Био-комплекс</x:v>
      </x:c>
      <x:c r="C193" s="9" t="str">
        <x:v>ДАЧНЫЙ ПОМОЩНИК, Средство для мойки теплиц, концентрат</x:v>
      </x:c>
      <x:c r="D193" s="9" t="str">
        <x:v>Средство для растений/почвы</x:v>
      </x:c>
      <x:c r="E193" s="9" t="str">
        <x:v>Розничный каталог</x:v>
      </x:c>
      <x:c r="F193" s="9" t="str">
        <x:v>G34</x:v>
      </x:c>
      <x:c r="G193" s="9" t="str">
        <x:v>композиция анионных, неиногенных и амфолитных ПАВ ≥ 20%, дезинфицирующий компонент; 5%, деминерализованная вода до 100%.</x:v>
      </x:c>
      <x:c r="H193" s="9" t="str">
        <x:v>Есть сведения; см. ограничения</x:v>
      </x:c>
      <x:c r="I193" s="9" t="str">
        <x:v>Жидкость/концентрат</x:v>
      </x:c>
      <x:c r="J193" s="10" t="n">
        <x:v>1</x:v>
      </x:c>
      <x:c r="K193" s="9" t="str">
        <x:v>См. коды и ограничения на листе «Сопоставления»</x:v>
      </x:c>
      <x:c r="L193" s="9"/>
      <x:c r="M193" s="11" t="str">
        <x:v>https://bio-kompleks.ru/catalog/vsya_produktsiya/dachnyy_pomoshchnik_sredstvo_dlya_moyki_teplits_kontsentrat/</x:v>
      </x:c>
      <x:c r="N193" s="11"/>
    </x:row>
    <x:row r="194" ht="68" customHeight="1">
      <x:c r="A194" s="6" t="str">
        <x:v>P0189</x:v>
      </x:c>
      <x:c r="B194" s="6" t="str">
        <x:v>Био-комплекс</x:v>
      </x:c>
      <x:c r="C194" s="6" t="str">
        <x:v>Дифломайт, СК от клещей на овощных и плодово-ягодных</x:v>
      </x:c>
      <x:c r="D194" s="6" t="str">
        <x:v>Средство для растений/почвы</x:v>
      </x:c>
      <x:c r="E194" s="6" t="str">
        <x:v>В продаже у Био-комплекса; производитель не приписан</x:v>
      </x:c>
      <x:c r="F194" s="6" t="str">
        <x:v>—</x:v>
      </x:c>
      <x:c r="G194" s="6" t="str">
        <x:v>200 г/л дифловидазина</x:v>
      </x:c>
      <x:c r="H194" s="6" t="str">
        <x:v>Есть сведения; см. ограничения</x:v>
      </x:c>
      <x:c r="I194" s="6" t="str">
        <x:v>См. карточку</x:v>
      </x:c>
      <x:c r="J194" s="12" t="n">
        <x:v>1</x:v>
      </x:c>
      <x:c r="K194" s="6" t="str">
        <x:v>Близкий аналог не подтвержден</x:v>
      </x:c>
      <x:c r="L194" s="6"/>
      <x:c r="M194" s="13" t="str">
        <x:v>https://bio-kompleks.ru/catalog/vsya_produktsiya/diflomayt_sk_ot_kleshchey_na_ovoshchnykh_i_plodovo_yagodnykh/</x:v>
      </x:c>
      <x:c r="N194" s="13"/>
    </x:row>
    <x:row r="195" ht="110" customHeight="1">
      <x:c r="A195" s="9" t="str">
        <x:v>P0190</x:v>
      </x:c>
      <x:c r="B195" s="9" t="str">
        <x:v>Био-комплекс</x:v>
      </x:c>
      <x:c r="C195" s="9" t="str">
        <x:v>Дифломайт, СК от клещей на цветочно-декоративных</x:v>
      </x:c>
      <x:c r="D195" s="9" t="str">
        <x:v>Средство для растений/почвы</x:v>
      </x:c>
      <x:c r="E195" s="9" t="str">
        <x:v>В продаже у Био-комплекса; производитель не приписан</x:v>
      </x:c>
      <x:c r="F195" s="9" t="str">
        <x:v>—</x:v>
      </x:c>
      <x:c r="G195" s="9" t="str">
        <x:v>проникает внутрь листа растения, за счёт этого уничтожаются клещи на нижней стороне цветов. Препарат эффективно воздействует на зимние и летние яйцекладки. Результат Остановлено развитие жизненного цикла клещей-паразитов Уничтожены вредители на нижней стороне листа Дополнительное стерилизующее действие на самок клещей и их личинок</x:v>
      </x:c>
      <x:c r="H195" s="9" t="str">
        <x:v>Есть сведения; см. ограничения</x:v>
      </x:c>
      <x:c r="I195" s="9" t="str">
        <x:v>См. карточку</x:v>
      </x:c>
      <x:c r="J195" s="10" t="n">
        <x:v>1</x:v>
      </x:c>
      <x:c r="K195" s="9" t="str">
        <x:v>Близкий аналог не подтвержден</x:v>
      </x:c>
      <x:c r="L195" s="9"/>
      <x:c r="M195" s="11" t="str">
        <x:v>https://bio-kompleks.ru/catalog/vsya_produktsiya/diflomayt_sk_ot_kleshchey_na_tsvetochno_dekorativnykh/</x:v>
      </x:c>
      <x:c r="N195" s="11"/>
    </x:row>
    <x:row r="196" ht="68" customHeight="1">
      <x:c r="A196" s="6" t="str">
        <x:v>P0191</x:v>
      </x:c>
      <x:c r="B196" s="6" t="str">
        <x:v>Био-комплекс</x:v>
      </x:c>
      <x:c r="C196" s="6" t="str">
        <x:v>Залп, КЭ от кровососущих насек, клещей, комаров, ос, шершней</x:v>
      </x:c>
      <x:c r="D196" s="6" t="str">
        <x:v>Средство для растений/почвы</x:v>
      </x:c>
      <x:c r="E196" s="6" t="str">
        <x:v>В продаже у Био-комплекса; производитель не приписан</x:v>
      </x:c>
      <x:c r="F196" s="6" t="str">
        <x:v>—</x:v>
      </x:c>
      <x:c r="G196" s="6" t="str">
        <x:v>Количественный состав в прочитанном тексте не найден; см. карточку</x:v>
      </x:c>
      <x:c r="H196" s="6" t="str">
        <x:v>Полного состава нет в тексте</x:v>
      </x:c>
      <x:c r="I196" s="6" t="str">
        <x:v>См. карточку</x:v>
      </x:c>
      <x:c r="J196" s="12" t="n">
        <x:v>1</x:v>
      </x:c>
      <x:c r="K196" s="6" t="str">
        <x:v>Близкий аналог не подтвержден</x:v>
      </x:c>
      <x:c r="L196" s="6"/>
      <x:c r="M196" s="13" t="str">
        <x:v>https://bio-kompleks.ru/catalog/vsya_produktsiya/zalp_ke_ot_krovososushchikh_nasek_kleshchey_komarov_os_shershney/</x:v>
      </x:c>
      <x:c r="N196" s="13"/>
    </x:row>
    <x:row r="197" ht="68" customHeight="1">
      <x:c r="A197" s="9" t="str">
        <x:v>P0192</x:v>
      </x:c>
      <x:c r="B197" s="9" t="str">
        <x:v>Био-комплекс</x:v>
      </x:c>
      <x:c r="C197" s="9" t="str">
        <x:v>Зонтран, ККР от сорняков на томатах и картофеле</x:v>
      </x:c>
      <x:c r="D197" s="9" t="str">
        <x:v>Средство для растений/почвы</x:v>
      </x:c>
      <x:c r="E197" s="9" t="str">
        <x:v>В продаже у Био-комплекса; производитель не приписан</x:v>
      </x:c>
      <x:c r="F197" s="9" t="str">
        <x:v>—</x:v>
      </x:c>
      <x:c r="G197" s="9" t="str">
        <x:v>Количественный состав в прочитанном тексте не найден; см. карточку</x:v>
      </x:c>
      <x:c r="H197" s="9" t="str">
        <x:v>Полного состава нет в тексте</x:v>
      </x:c>
      <x:c r="I197" s="9" t="str">
        <x:v>См. карточку</x:v>
      </x:c>
      <x:c r="J197" s="10" t="n">
        <x:v>1</x:v>
      </x:c>
      <x:c r="K197" s="9" t="str">
        <x:v>Близкий аналог не подтвержден</x:v>
      </x:c>
      <x:c r="L197" s="9"/>
      <x:c r="M197" s="11" t="str">
        <x:v>https://bio-kompleks.ru/catalog/vsya_produktsiya/zontran_kkr_ot_sornyakov_na_tomatakh_i_kartofele/</x:v>
      </x:c>
      <x:c r="N197" s="11"/>
    </x:row>
    <x:row r="198" ht="68" customHeight="1">
      <x:c r="A198" s="6" t="str">
        <x:v>P0193</x:v>
      </x:c>
      <x:c r="B198" s="6" t="str">
        <x:v>Био-комплекс</x:v>
      </x:c>
      <x:c r="C198" s="6" t="str">
        <x:v>Имидор ПРО, КС протравитель картофеля перед посадкой</x:v>
      </x:c>
      <x:c r="D198" s="6" t="str">
        <x:v>Средство для растений/почвы</x:v>
      </x:c>
      <x:c r="E198" s="6" t="str">
        <x:v>В продаже у Био-комплекса; производитель не приписан</x:v>
      </x:c>
      <x:c r="F198" s="6" t="str">
        <x:v>—</x:v>
      </x:c>
      <x:c r="G198" s="6" t="str">
        <x:v>Количественный состав в прочитанном тексте не найден; см. карточку</x:v>
      </x:c>
      <x:c r="H198" s="6" t="str">
        <x:v>Полного состава нет в тексте</x:v>
      </x:c>
      <x:c r="I198" s="6" t="str">
        <x:v>См. карточку</x:v>
      </x:c>
      <x:c r="J198" s="12" t="n">
        <x:v>1</x:v>
      </x:c>
      <x:c r="K198" s="6" t="str">
        <x:v>Близкий аналог не подтвержден</x:v>
      </x:c>
      <x:c r="L198" s="6"/>
      <x:c r="M198" s="13" t="str">
        <x:v>https://bio-kompleks.ru/catalog/vsya_produktsiya/imidor_pro_ks_protravitel_kartofelya_pered_posadkoy/</x:v>
      </x:c>
      <x:c r="N198" s="13"/>
    </x:row>
    <x:row r="199" ht="68" customHeight="1">
      <x:c r="A199" s="9" t="str">
        <x:v>P0194</x:v>
      </x:c>
      <x:c r="B199" s="9" t="str">
        <x:v>Био-комплекс</x:v>
      </x:c>
      <x:c r="C199" s="9" t="str">
        <x:v>Имидор, ВРК от колорадского жука на картофеле</x:v>
      </x:c>
      <x:c r="D199" s="9" t="str">
        <x:v>Средство для растений/почвы</x:v>
      </x:c>
      <x:c r="E199" s="9" t="str">
        <x:v>В продаже у Био-комплекса; производитель не приписан</x:v>
      </x:c>
      <x:c r="F199" s="9" t="str">
        <x:v>—</x:v>
      </x:c>
      <x:c r="G199" s="9" t="str">
        <x:v>Количественный состав в прочитанном тексте не найден; см. карточку</x:v>
      </x:c>
      <x:c r="H199" s="9" t="str">
        <x:v>Полного состава нет в тексте</x:v>
      </x:c>
      <x:c r="I199" s="9" t="str">
        <x:v>См. карточку</x:v>
      </x:c>
      <x:c r="J199" s="10" t="n">
        <x:v>1</x:v>
      </x:c>
      <x:c r="K199" s="9" t="str">
        <x:v>Близкий аналог не подтвержден</x:v>
      </x:c>
      <x:c r="L199" s="9"/>
      <x:c r="M199" s="11" t="str">
        <x:v>https://bio-kompleks.ru/catalog/vsya_produktsiya/imidor_vrk_ot_koloradskogo_zhuka_na_kartofele/</x:v>
      </x:c>
      <x:c r="N199" s="11"/>
    </x:row>
    <x:row r="200" ht="68" customHeight="1">
      <x:c r="A200" s="6" t="str">
        <x:v>P0195</x:v>
      </x:c>
      <x:c r="B200" s="6" t="str">
        <x:v>Био-комплекс</x:v>
      </x:c>
      <x:c r="C200" s="6" t="str">
        <x:v>Имидор, ВРК от тли и белокрылки на огурцах и томатах</x:v>
      </x:c>
      <x:c r="D200" s="6" t="str">
        <x:v>Средство для растений/почвы</x:v>
      </x:c>
      <x:c r="E200" s="6" t="str">
        <x:v>В продаже у Био-комплекса; производитель не приписан</x:v>
      </x:c>
      <x:c r="F200" s="6" t="str">
        <x:v>—</x:v>
      </x:c>
      <x:c r="G200" s="6" t="str">
        <x:v>Количественный состав в прочитанном тексте не найден; см. карточку</x:v>
      </x:c>
      <x:c r="H200" s="6" t="str">
        <x:v>Полного состава нет в тексте</x:v>
      </x:c>
      <x:c r="I200" s="6" t="str">
        <x:v>См. карточку</x:v>
      </x:c>
      <x:c r="J200" s="12" t="n">
        <x:v>1</x:v>
      </x:c>
      <x:c r="K200" s="6" t="str">
        <x:v>Близкий аналог не подтвержден</x:v>
      </x:c>
      <x:c r="L200" s="6"/>
      <x:c r="M200" s="13" t="str">
        <x:v>https://bio-kompleks.ru/catalog/vsya_produktsiya/imidor_vrk_ot_tli_i_belokrylki_na_ogurtsakh_i_tomatakh/</x:v>
      </x:c>
      <x:c r="N200" s="13"/>
    </x:row>
    <x:row r="201" ht="68" customHeight="1">
      <x:c r="A201" s="9" t="str">
        <x:v>P0196</x:v>
      </x:c>
      <x:c r="B201" s="9" t="str">
        <x:v>Био-комплекс</x:v>
      </x:c>
      <x:c r="C201" s="9" t="str">
        <x:v>Имидор, ВРК от тли и белокрылки на цветочных растениях</x:v>
      </x:c>
      <x:c r="D201" s="9" t="str">
        <x:v>Средство для растений/почвы</x:v>
      </x:c>
      <x:c r="E201" s="9" t="str">
        <x:v>В продаже у Био-комплекса; производитель не приписан</x:v>
      </x:c>
      <x:c r="F201" s="9" t="str">
        <x:v>—</x:v>
      </x:c>
      <x:c r="G201" s="9" t="str">
        <x:v>Количественный состав в прочитанном тексте не найден; см. карточку</x:v>
      </x:c>
      <x:c r="H201" s="9" t="str">
        <x:v>Полного состава нет в тексте</x:v>
      </x:c>
      <x:c r="I201" s="9" t="str">
        <x:v>См. карточку</x:v>
      </x:c>
      <x:c r="J201" s="10" t="n">
        <x:v>1</x:v>
      </x:c>
      <x:c r="K201" s="9" t="str">
        <x:v>Близкий аналог не подтвержден</x:v>
      </x:c>
      <x:c r="L201" s="9"/>
      <x:c r="M201" s="11" t="str">
        <x:v>https://bio-kompleks.ru/catalog/vsya_produktsiya/imidor_vrk_ot_tli_i_belokrylki_na_tsvetochnykh_rasteniyakh/</x:v>
      </x:c>
      <x:c r="N201" s="11"/>
    </x:row>
    <x:row r="202" ht="68" customHeight="1">
      <x:c r="A202" s="6" t="str">
        <x:v>P0197</x:v>
      </x:c>
      <x:c r="B202" s="6" t="str">
        <x:v>Био-комплекс</x:v>
      </x:c>
      <x:c r="C202" s="6" t="str">
        <x:v>Индиго, КС от болезней плодовых и винограда, профилакт</x:v>
      </x:c>
      <x:c r="D202" s="6" t="str">
        <x:v>Средство для растений/почвы</x:v>
      </x:c>
      <x:c r="E202" s="6" t="str">
        <x:v>В продаже у Био-комплекса; производитель не приписан</x:v>
      </x:c>
      <x:c r="F202" s="6" t="str">
        <x:v>G30</x:v>
      </x:c>
      <x:c r="G202" s="6" t="str">
        <x:v>Количественный состав в прочитанном тексте не найден; см. карточку</x:v>
      </x:c>
      <x:c r="H202" s="6" t="str">
        <x:v>Полного состава нет в тексте</x:v>
      </x:c>
      <x:c r="I202" s="6" t="str">
        <x:v>См. карточку</x:v>
      </x:c>
      <x:c r="J202" s="12" t="n">
        <x:v>1</x:v>
      </x:c>
      <x:c r="K202" s="6" t="str">
        <x:v>См. коды и ограничения на листе «Сопоставления»</x:v>
      </x:c>
      <x:c r="L202" s="6"/>
      <x:c r="M202" s="13" t="str">
        <x:v>https://bio-kompleks.ru/catalog/vsya_produktsiya/indigo_ks_ot_bolezney_plodovykh_i_vinograda_profilakt/</x:v>
      </x:c>
      <x:c r="N202" s="13"/>
    </x:row>
    <x:row r="203" ht="68" customHeight="1">
      <x:c r="A203" s="9" t="str">
        <x:v>P0198</x:v>
      </x:c>
      <x:c r="B203" s="9" t="str">
        <x:v>Био-комплекс</x:v>
      </x:c>
      <x:c r="C203" s="9" t="str">
        <x:v>Коренник, СП стимулятор роста корней</x:v>
      </x:c>
      <x:c r="D203" s="9" t="str">
        <x:v>Средство для растений/почвы</x:v>
      </x:c>
      <x:c r="E203" s="9" t="str">
        <x:v>В продаже у Био-комплекса; производитель не приписан</x:v>
      </x:c>
      <x:c r="F203" s="9" t="str">
        <x:v>G10</x:v>
      </x:c>
      <x:c r="G203" s="9" t="str">
        <x:v>Количественный состав в прочитанном тексте не найден; см. карточку</x:v>
      </x:c>
      <x:c r="H203" s="9" t="str">
        <x:v>Полного состава нет в тексте</x:v>
      </x:c>
      <x:c r="I203" s="9" t="str">
        <x:v>См. карточку</x:v>
      </x:c>
      <x:c r="J203" s="10" t="n">
        <x:v>1</x:v>
      </x:c>
      <x:c r="K203" s="9" t="str">
        <x:v>См. коды и ограничения на листе «Сопоставления»</x:v>
      </x:c>
      <x:c r="L203" s="9"/>
      <x:c r="M203" s="11" t="str">
        <x:v>https://bio-kompleks.ru/catalog/vsya_produktsiya/korennik_sp_stimulyator_rosta_korney/</x:v>
      </x:c>
      <x:c r="N203" s="11"/>
    </x:row>
    <x:row r="204" ht="68" customHeight="1">
      <x:c r="A204" s="6" t="str">
        <x:v>P0199</x:v>
      </x:c>
      <x:c r="B204" s="6" t="str">
        <x:v>Био-комплекс</x:v>
      </x:c>
      <x:c r="C204" s="6" t="str">
        <x:v>Лорнет, ВР от сорняков на газонах и землянике</x:v>
      </x:c>
      <x:c r="D204" s="6" t="str">
        <x:v>Средство для растений/почвы</x:v>
      </x:c>
      <x:c r="E204" s="6" t="str">
        <x:v>В продаже у Био-комплекса; производитель не приписан</x:v>
      </x:c>
      <x:c r="F204" s="6" t="str">
        <x:v>—</x:v>
      </x:c>
      <x:c r="G204" s="6" t="str">
        <x:v>Количественный состав в прочитанном тексте не найден; см. карточку</x:v>
      </x:c>
      <x:c r="H204" s="6" t="str">
        <x:v>Полного состава нет в тексте</x:v>
      </x:c>
      <x:c r="I204" s="6" t="str">
        <x:v>См. карточку</x:v>
      </x:c>
      <x:c r="J204" s="12" t="n">
        <x:v>1</x:v>
      </x:c>
      <x:c r="K204" s="6" t="str">
        <x:v>Близкий аналог не подтвержден</x:v>
      </x:c>
      <x:c r="L204" s="6"/>
      <x:c r="M204" s="13" t="str">
        <x:v>https://bio-kompleks.ru/catalog/vsya_produktsiya/lornet_vr_ot_sornyakov_na_gazonakh_i_zemlyanike/</x:v>
      </x:c>
      <x:c r="N204" s="13"/>
    </x:row>
    <x:row r="205" ht="68" customHeight="1">
      <x:c r="A205" s="9" t="str">
        <x:v>P0200</x:v>
      </x:c>
      <x:c r="B205" s="9" t="str">
        <x:v>Био-комплекс</x:v>
      </x:c>
      <x:c r="C205" s="9" t="str">
        <x:v>Медея, МЭ от болезней садов и виноградников</x:v>
      </x:c>
      <x:c r="D205" s="9" t="str">
        <x:v>Средство для растений/почвы</x:v>
      </x:c>
      <x:c r="E205" s="9" t="str">
        <x:v>В продаже у Био-комплекса; производитель не приписан</x:v>
      </x:c>
      <x:c r="F205" s="9" t="str">
        <x:v>G30</x:v>
      </x:c>
      <x:c r="G205" s="9" t="str">
        <x:v>Количественный состав в прочитанном тексте не найден; см. карточку</x:v>
      </x:c>
      <x:c r="H205" s="9" t="str">
        <x:v>Полного состава нет в тексте</x:v>
      </x:c>
      <x:c r="I205" s="9" t="str">
        <x:v>См. карточку</x:v>
      </x:c>
      <x:c r="J205" s="10" t="n">
        <x:v>1</x:v>
      </x:c>
      <x:c r="K205" s="9" t="str">
        <x:v>См. коды и ограничения на листе «Сопоставления»</x:v>
      </x:c>
      <x:c r="L205" s="9"/>
      <x:c r="M205" s="11" t="str">
        <x:v>https://bio-kompleks.ru/catalog/vsya_produktsiya/medeya_me_ot_bolezney_sadov_i_vinogradnikov/</x:v>
      </x:c>
      <x:c r="N205" s="11"/>
    </x:row>
    <x:row r="206" ht="68" customHeight="1">
      <x:c r="A206" s="6" t="str">
        <x:v>P0201</x:v>
      </x:c>
      <x:c r="B206" s="6" t="str">
        <x:v>Био-комплекс</x:v>
      </x:c>
      <x:c r="C206" s="6" t="str">
        <x:v>Микорайз, биостимулятор на основе микоризы</x:v>
      </x:c>
      <x:c r="D206" s="6" t="str">
        <x:v>Средство для растений/почвы</x:v>
      </x:c>
      <x:c r="E206" s="6" t="str">
        <x:v>В продаже у Био-комплекса; производитель не приписан</x:v>
      </x:c>
      <x:c r="F206" s="6" t="str">
        <x:v>G01; G12</x:v>
      </x:c>
      <x:c r="G206" s="6" t="str">
        <x:v>Количественный состав в прочитанном тексте не найден; см. карточку</x:v>
      </x:c>
      <x:c r="H206" s="6" t="str">
        <x:v>Полного состава нет в тексте</x:v>
      </x:c>
      <x:c r="I206" s="6" t="str">
        <x:v>См. карточку</x:v>
      </x:c>
      <x:c r="J206" s="12" t="n">
        <x:v>1</x:v>
      </x:c>
      <x:c r="K206" s="6" t="str">
        <x:v>См. коды и ограничения на листе «Сопоставления»</x:v>
      </x:c>
      <x:c r="L206" s="6"/>
      <x:c r="M206" s="13" t="str">
        <x:v>https://bio-kompleks.ru/catalog/vsya_produktsiya/mikorayz_biostimulyator_na_osnove_mikorizy_paket_5_tab/</x:v>
      </x:c>
      <x:c r="N206" s="13"/>
    </x:row>
    <x:row r="207" ht="68" customHeight="1">
      <x:c r="A207" s="9" t="str">
        <x:v>P0202</x:v>
      </x:c>
      <x:c r="B207" s="9" t="str">
        <x:v>Био-комплекс</x:v>
      </x:c>
      <x:c r="C207" s="9" t="str">
        <x:v>Мурагон от муравьев</x:v>
      </x:c>
      <x:c r="D207" s="9" t="str">
        <x:v>Средство для растений/почвы</x:v>
      </x:c>
      <x:c r="E207" s="9" t="str">
        <x:v>В продаже у Био-комплекса; производитель не приписан</x:v>
      </x:c>
      <x:c r="F207" s="9" t="str">
        <x:v>G32</x:v>
      </x:c>
      <x:c r="G207" s="9" t="str">
        <x:v>диазинон – 5,0%, пищевые наполнители, консервант.</x:v>
      </x:c>
      <x:c r="H207" s="9" t="str">
        <x:v>Есть сведения; см. ограничения</x:v>
      </x:c>
      <x:c r="I207" s="9" t="str">
        <x:v>См. карточку</x:v>
      </x:c>
      <x:c r="J207" s="10" t="n">
        <x:v>1</x:v>
      </x:c>
      <x:c r="K207" s="9" t="str">
        <x:v>См. коды и ограничения на листе «Сопоставления»</x:v>
      </x:c>
      <x:c r="L207" s="9"/>
      <x:c r="M207" s="11" t="str">
        <x:v>https://bio-kompleks.ru/catalog/vsya_produktsiya/muragon_ot_muravev_4g_/</x:v>
      </x:c>
      <x:c r="N207" s="11"/>
    </x:row>
    <x:row r="208" ht="68" customHeight="1">
      <x:c r="A208" s="6" t="str">
        <x:v>P0203</x:v>
      </x:c>
      <x:c r="B208" s="6" t="str">
        <x:v>Био-комплекс</x:v>
      </x:c>
      <x:c r="C208" s="6" t="str">
        <x:v>Мурагон, от муравьев садовых и домашних</x:v>
      </x:c>
      <x:c r="D208" s="6" t="str">
        <x:v>Средство для растений/почвы</x:v>
      </x:c>
      <x:c r="E208" s="6" t="str">
        <x:v>В продаже у Био-комплекса; производитель не приписан</x:v>
      </x:c>
      <x:c r="F208" s="6" t="str">
        <x:v>G32</x:v>
      </x:c>
      <x:c r="G208" s="6" t="str">
        <x:v>Количественный состав в прочитанном тексте не найден; см. карточку</x:v>
      </x:c>
      <x:c r="H208" s="6" t="str">
        <x:v>Полного состава нет в тексте</x:v>
      </x:c>
      <x:c r="I208" s="6" t="str">
        <x:v>См. карточку</x:v>
      </x:c>
      <x:c r="J208" s="12" t="n">
        <x:v>1</x:v>
      </x:c>
      <x:c r="K208" s="6" t="str">
        <x:v>См. коды и ограничения на листе «Сопоставления»</x:v>
      </x:c>
      <x:c r="L208" s="6"/>
      <x:c r="M208" s="13" t="str">
        <x:v>https://bio-kompleks.ru/catalog/vsya_produktsiya/muragon_ot_muravev_sadovykh_i_domashnikh_paket_4_g/</x:v>
      </x:c>
      <x:c r="N208" s="13"/>
    </x:row>
    <x:row r="209" ht="68" customHeight="1">
      <x:c r="A209" s="9" t="str">
        <x:v>P0204</x:v>
      </x:c>
      <x:c r="B209" s="9" t="str">
        <x:v>Био-комплекс</x:v>
      </x:c>
      <x:c r="C209" s="9" t="str">
        <x:v>Нутривант Плюс, Виноград NPK: 0-40-25, профессиональное комплексное удобрение</x:v>
      </x:c>
      <x:c r="D209" s="9" t="str">
        <x:v>Средство для растений/почвы</x:v>
      </x:c>
      <x:c r="E209" s="9" t="str">
        <x:v>В продаже у Био-комплекса; производитель не приписан</x:v>
      </x:c>
      <x:c r="F209" s="9" t="str">
        <x:v>G35; C20</x:v>
      </x:c>
      <x:c r="G209" s="9" t="str">
        <x:v>азот 0%, фосфор (Р2О5) 40%, калий (К2О) 25%, магний (MgO) 2%, бор (В) 2%, фертивант.</x:v>
      </x:c>
      <x:c r="H209" s="9" t="str">
        <x:v>Есть сведения; см. ограничения</x:v>
      </x:c>
      <x:c r="I209" s="9" t="str">
        <x:v>См. карточку</x:v>
      </x:c>
      <x:c r="J209" s="10" t="n">
        <x:v>1</x:v>
      </x:c>
      <x:c r="K209" s="9" t="str">
        <x:v>См. коды и ограничения на листе «Сопоставления»</x:v>
      </x:c>
      <x:c r="L209" s="9"/>
      <x:c r="M209" s="11" t="str">
        <x:v>https://bio-kompleks.ru/catalog/vsya_produktsiya/nutrivant-plyus-vinograd-npk-0-40-25-professionalnoe-kompleksnoe-udobrenie/</x:v>
      </x:c>
      <x:c r="N209" s="11"/>
    </x:row>
    <x:row r="210" ht="68" customHeight="1">
      <x:c r="A210" s="6" t="str">
        <x:v>P0205</x:v>
      </x:c>
      <x:c r="B210" s="6" t="str">
        <x:v>Био-комплекс</x:v>
      </x:c>
      <x:c r="C210" s="6" t="str">
        <x:v>Нутривант Плюс, Овощной NPK: 6-18-37, профессиональное комплексное удобрение</x:v>
      </x:c>
      <x:c r="D210" s="6" t="str">
        <x:v>Средство для растений/почвы</x:v>
      </x:c>
      <x:c r="E210" s="6" t="str">
        <x:v>В продаже у Био-комплекса; производитель не приписан</x:v>
      </x:c>
      <x:c r="F210" s="6" t="str">
        <x:v>G35; C25</x:v>
      </x:c>
      <x:c r="G210" s="6" t="str">
        <x:v>азот 6%, фосфор (Р2О5) 18%, калий (К2О) 37%, магний (MgO) 2%, бор (В) 0,02%, железо (Fe) 0,08%, марганец (Mn) 0,04%, цинк (Zn) 0,02%, медь (Cu) 0,005%, молибден (Mo) 0,005%, фертивант.</x:v>
      </x:c>
      <x:c r="H210" s="6" t="str">
        <x:v>Есть сведения; см. ограничения</x:v>
      </x:c>
      <x:c r="I210" s="6" t="str">
        <x:v>См. карточку</x:v>
      </x:c>
      <x:c r="J210" s="12" t="n">
        <x:v>1</x:v>
      </x:c>
      <x:c r="K210" s="6" t="str">
        <x:v>См. коды и ограничения на листе «Сопоставления»</x:v>
      </x:c>
      <x:c r="L210" s="6"/>
      <x:c r="M210" s="13" t="str">
        <x:v>https://bio-kompleks.ru/catalog/vsya_produktsiya/nutrivant-plyus-ovoshchnoy-npk-6-18-37-professionalnoe-kompleksnoe-udobrenie/</x:v>
      </x:c>
      <x:c r="N210" s="13"/>
    </x:row>
    <x:row r="211" ht="68" customHeight="1">
      <x:c r="A211" s="9" t="str">
        <x:v>P0206</x:v>
      </x:c>
      <x:c r="B211" s="9" t="str">
        <x:v>Био-комплекс</x:v>
      </x:c>
      <x:c r="C211" s="9" t="str">
        <x:v>Нутривант Плюс, Плоды-цветы (Юникроп) NPK 0-36-24 профессиональное комплексное удобрение</x:v>
      </x:c>
      <x:c r="D211" s="9" t="str">
        <x:v>Средство для растений/почвы</x:v>
      </x:c>
      <x:c r="E211" s="9" t="str">
        <x:v>В продаже у Био-комплекса; производитель не приписан</x:v>
      </x:c>
      <x:c r="F211" s="9" t="str">
        <x:v>G35; C17</x:v>
      </x:c>
      <x:c r="G211" s="9" t="str">
        <x:v>азот 0%, фосфор (Р2О5) 36%, калий (К2О) 24%, магний (MgO) 2%, бор (В) 2%, марганец (Mn) 1%, фертивант.</x:v>
      </x:c>
      <x:c r="H211" s="9" t="str">
        <x:v>Есть сведения; см. ограничения</x:v>
      </x:c>
      <x:c r="I211" s="9" t="str">
        <x:v>См. карточку</x:v>
      </x:c>
      <x:c r="J211" s="10" t="n">
        <x:v>1</x:v>
      </x:c>
      <x:c r="K211" s="9" t="str">
        <x:v>См. коды и ограничения на листе «Сопоставления»</x:v>
      </x:c>
      <x:c r="L211" s="9"/>
      <x:c r="M211" s="11" t="str">
        <x:v>https://bio-kompleks.ru/catalog/vsya_produktsiya/nutrivant-plyus-plody-tsvety-yunikrop-npk-0-36-24-professionalnoe-kompleksnoe-udobrenie/</x:v>
      </x:c>
      <x:c r="N211" s="11"/>
    </x:row>
    <x:row r="212" ht="68" customHeight="1">
      <x:c r="A212" s="6" t="str">
        <x:v>P0207</x:v>
      </x:c>
      <x:c r="B212" s="6" t="str">
        <x:v>Био-комплекс</x:v>
      </x:c>
      <x:c r="C212" s="6" t="str">
        <x:v>Нутривант Плюс, Томат NPK: 6-18-37, профессиональное комплексное удобрение</x:v>
      </x:c>
      <x:c r="D212" s="6" t="str">
        <x:v>Средство для растений/почвы</x:v>
      </x:c>
      <x:c r="E212" s="6" t="str">
        <x:v>В продаже у Био-комплекса; производитель не приписан</x:v>
      </x:c>
      <x:c r="F212" s="6" t="str">
        <x:v>G35; C02</x:v>
      </x:c>
      <x:c r="G212" s="6" t="str">
        <x:v>азот 6%, фосфор (Р2О5) 18%, калий (К2О) 37%, магний (MgO) 2%, бор (В) 0,02%, железо (Fe) 0,08%, марганец (Mn) 0,04%, цинк (Zn) 0,02%, медь (Cu) 0,005%, молибден (Mo) 0,005%, фертивант.</x:v>
      </x:c>
      <x:c r="H212" s="6" t="str">
        <x:v>Есть сведения; см. ограничения</x:v>
      </x:c>
      <x:c r="I212" s="6" t="str">
        <x:v>См. карточку</x:v>
      </x:c>
      <x:c r="J212" s="12" t="n">
        <x:v>1</x:v>
      </x:c>
      <x:c r="K212" s="6" t="str">
        <x:v>См. коды и ограничения на листе «Сопоставления»</x:v>
      </x:c>
      <x:c r="L212" s="6"/>
      <x:c r="M212" s="13" t="str">
        <x:v>https://bio-kompleks.ru/catalog/vsya_produktsiya/nutrivant-plyus-tomat-npk-6-18-37-professionalnoe-kompleksnoe-udobrenie/</x:v>
      </x:c>
      <x:c r="N212" s="13"/>
    </x:row>
    <x:row r="213" ht="68" customHeight="1">
      <x:c r="A213" s="9" t="str">
        <x:v>P0208</x:v>
      </x:c>
      <x:c r="B213" s="9" t="str">
        <x:v>Био-комплекс</x:v>
      </x:c>
      <x:c r="C213" s="9" t="str">
        <x:v>Нутривант Плюс, Универсальный NPK: 19-19-19, профессиональное комплексное удобрение</x:v>
      </x:c>
      <x:c r="D213" s="9" t="str">
        <x:v>Средство для растений/почвы</x:v>
      </x:c>
      <x:c r="E213" s="9" t="str">
        <x:v>В продаже у Био-комплекса; производитель не приписан</x:v>
      </x:c>
      <x:c r="F213" s="9" t="str">
        <x:v>G35; C01</x:v>
      </x:c>
      <x:c r="G213" s="9" t="str">
        <x:v>азот (N) 19%, фосфор (Р2О5) 19%, калий (К2О) 19%, магний (MgO) 2%, сера (S) 1,6%, бор (В) 0,01%, марганец (Mn) 0,04%, цинк (Z) 0,02%, медь (Cu) 0,005%, железо (Fe) 0,08%, молибден (Mo) 0,005%, фертивант.</x:v>
      </x:c>
      <x:c r="H213" s="9" t="str">
        <x:v>Есть сведения; см. ограничения</x:v>
      </x:c>
      <x:c r="I213" s="9" t="str">
        <x:v>См. карточку</x:v>
      </x:c>
      <x:c r="J213" s="10" t="n">
        <x:v>1</x:v>
      </x:c>
      <x:c r="K213" s="9" t="str">
        <x:v>См. коды и ограничения на листе «Сопоставления»</x:v>
      </x:c>
      <x:c r="L213" s="9"/>
      <x:c r="M213" s="11" t="str">
        <x:v>https://bio-kompleks.ru/catalog/vsya_produktsiya/nutrivant-plyus-universalnyy-npk-19-19-19-professionalnoe-kompleksnoe-udobrenie/</x:v>
      </x:c>
      <x:c r="N213" s="11"/>
    </x:row>
    <x:row r="214" ht="68" customHeight="1">
      <x:c r="A214" s="6" t="str">
        <x:v>P0209</x:v>
      </x:c>
      <x:c r="B214" s="6" t="str">
        <x:v>Био-комплекс</x:v>
      </x:c>
      <x:c r="C214" s="6" t="str">
        <x:v>Нутривант Плюс, Хвойные вечнозелёные NPK 0-36-24 профессиональное комплексное удобрение</x:v>
      </x:c>
      <x:c r="D214" s="6" t="str">
        <x:v>Средство для растений/почвы</x:v>
      </x:c>
      <x:c r="E214" s="6" t="str">
        <x:v>В продаже у Био-комплекса; производитель не приписан</x:v>
      </x:c>
      <x:c r="F214" s="6" t="str">
        <x:v>G35; C09</x:v>
      </x:c>
      <x:c r="G214" s="6" t="str">
        <x:v>азот 0%, фосфор (Р2О5) 36%, калий (К2О) 24%, магний (MgO) 2%, бор (В) 2%, марганец (Mn) 1%, фертивант.</x:v>
      </x:c>
      <x:c r="H214" s="6" t="str">
        <x:v>Есть сведения; см. ограничения</x:v>
      </x:c>
      <x:c r="I214" s="6" t="str">
        <x:v>См. карточку</x:v>
      </x:c>
      <x:c r="J214" s="12" t="n">
        <x:v>1</x:v>
      </x:c>
      <x:c r="K214" s="6" t="str">
        <x:v>См. коды и ограничения на листе «Сопоставления»</x:v>
      </x:c>
      <x:c r="L214" s="6"/>
      <x:c r="M214" s="13" t="str">
        <x:v>https://bio-kompleks.ru/catalog/vsya_produktsiya/nutrivant-plyus-khvoynye-vechnozelyenye-npk-0-36-24-professionalnoe-kompleksnoe-udobrenie/</x:v>
      </x:c>
      <x:c r="N214" s="13"/>
    </x:row>
    <x:row r="215" ht="68" customHeight="1">
      <x:c r="A215" s="9" t="str">
        <x:v>P0210</x:v>
      </x:c>
      <x:c r="B215" s="9" t="str">
        <x:v>Био-комплекс</x:v>
      </x:c>
      <x:c r="C215" s="9" t="str">
        <x:v>Нутривант Плюс, Цветы NPK: 19-19-19, профессиональное комплексное удобрение</x:v>
      </x:c>
      <x:c r="D215" s="9" t="str">
        <x:v>Средство для растений/почвы</x:v>
      </x:c>
      <x:c r="E215" s="9" t="str">
        <x:v>В продаже у Био-комплекса; производитель не приписан</x:v>
      </x:c>
      <x:c r="F215" s="9" t="str">
        <x:v>G35; C17</x:v>
      </x:c>
      <x:c r="G215" s="9" t="str">
        <x:v>азот (N) 19%, фосфор (Р2О5) 19%, калий (К2О) 19%, магний (MgO) 2%, сера (S) 1,6%, бор (В) 0,01%, марганец (Mn) 0,04%, цинк (Z) 0,02%, медь (Cu) 0,005%, железо (Fe) 0,08%, молибден (Mo) 0,005%, фертивант.</x:v>
      </x:c>
      <x:c r="H215" s="9" t="str">
        <x:v>Есть сведения; см. ограничения</x:v>
      </x:c>
      <x:c r="I215" s="9" t="str">
        <x:v>См. карточку</x:v>
      </x:c>
      <x:c r="J215" s="10" t="n">
        <x:v>1</x:v>
      </x:c>
      <x:c r="K215" s="9" t="str">
        <x:v>См. коды и ограничения на листе «Сопоставления»</x:v>
      </x:c>
      <x:c r="L215" s="9"/>
      <x:c r="M215" s="11" t="str">
        <x:v>https://bio-kompleks.ru/catalog/vsya_produktsiya/nutrivant-plyus-tsvety-npk-19-19-19-professionalnoe-kompleksnoe-udobrenie/</x:v>
      </x:c>
      <x:c r="N215" s="11"/>
    </x:row>
    <x:row r="216" ht="68" customHeight="1">
      <x:c r="A216" s="6" t="str">
        <x:v>P0211</x:v>
      </x:c>
      <x:c r="B216" s="6" t="str">
        <x:v>Био-комплекс</x:v>
      </x:c>
      <x:c r="C216" s="6" t="str">
        <x:v>Нутривант Плюс, Ягодный NPK: 12-5-27, профессиональное комплексное удобрение</x:v>
      </x:c>
      <x:c r="D216" s="6" t="str">
        <x:v>Средство для растений/почвы</x:v>
      </x:c>
      <x:c r="E216" s="6" t="str">
        <x:v>В продаже у Био-комплекса; производитель не приписан</x:v>
      </x:c>
      <x:c r="F216" s="6" t="str">
        <x:v>G35; C05</x:v>
      </x:c>
      <x:c r="G216" s="6" t="str">
        <x:v>азот 12%, фосфор (Р2О5) 5%, калий (К2О) 27%, кальций (CaО) 8%, бор (В) 0,1%, железо (Fe) 0,1%, марганец (Mn) 0,1%, цинк (Zn) 0,1%, фертивант.</x:v>
      </x:c>
      <x:c r="H216" s="6" t="str">
        <x:v>Есть сведения; см. ограничения</x:v>
      </x:c>
      <x:c r="I216" s="6" t="str">
        <x:v>См. карточку</x:v>
      </x:c>
      <x:c r="J216" s="12" t="n">
        <x:v>1</x:v>
      </x:c>
      <x:c r="K216" s="6" t="str">
        <x:v>См. коды и ограничения на листе «Сопоставления»</x:v>
      </x:c>
      <x:c r="L216" s="6"/>
      <x:c r="M216" s="13" t="str">
        <x:v>https://bio-kompleks.ru/catalog/vsya_produktsiya/nutrivant-plyus-yagodnyy-npk-12-5-27-professionalnoe-kompleksnoe-udobrenie/</x:v>
      </x:c>
      <x:c r="N216" s="13"/>
    </x:row>
    <x:row r="217" ht="68" customHeight="1">
      <x:c r="A217" s="9" t="str">
        <x:v>P0212</x:v>
      </x:c>
      <x:c r="B217" s="9" t="str">
        <x:v>Био-комплекс</x:v>
      </x:c>
      <x:c r="C217" s="9" t="str">
        <x:v>Осмокот Блум 2-3 мес</x:v>
      </x:c>
      <x:c r="D217" s="9" t="str">
        <x:v>Средство для растений/почвы</x:v>
      </x:c>
      <x:c r="E217" s="9" t="str">
        <x:v>В продаже у Био-комплекса; производитель не приписан</x:v>
      </x:c>
      <x:c r="F217" s="9" t="str">
        <x:v>—</x:v>
      </x:c>
      <x:c r="G217" s="9" t="str">
        <x:v>Количественный состав в прочитанном тексте не найден; см. карточку</x:v>
      </x:c>
      <x:c r="H217" s="9" t="str">
        <x:v>Полного состава нет в тексте</x:v>
      </x:c>
      <x:c r="I217" s="9" t="str">
        <x:v>См. карточку</x:v>
      </x:c>
      <x:c r="J217" s="10" t="n">
        <x:v>1</x:v>
      </x:c>
      <x:c r="K217" s="9" t="str">
        <x:v>Близкий аналог не подтвержден</x:v>
      </x:c>
      <x:c r="L217" s="9"/>
      <x:c r="M217" s="11" t="str">
        <x:v>https://bio-kompleks.ru/catalog/vsya_produktsiya/osmokot-blum-2-3-mes/</x:v>
      </x:c>
      <x:c r="N217" s="11"/>
    </x:row>
    <x:row r="218" ht="124" customHeight="1">
      <x:c r="A218" s="6" t="str">
        <x:v>P0213</x:v>
      </x:c>
      <x:c r="B218" s="6" t="str">
        <x:v>Био-комплекс</x:v>
      </x:c>
      <x:c r="C218" s="6" t="str">
        <x:v>Осмокот Про 3-4мес</x:v>
      </x:c>
      <x:c r="D218" s="6" t="str">
        <x:v>Средство для растений/почвы</x:v>
      </x:c>
      <x:c r="E218" s="6" t="str">
        <x:v>В продаже у Био-комплекса; производитель не приписан</x:v>
      </x:c>
      <x:c r="F218" s="6" t="str">
        <x:v>—</x:v>
      </x:c>
      <x:c r="G218" s="6" t="str">
        <x:v>питательных веществ: 17% Азот общий ( N ) 6,6% нитратный азот (N-NO 3 ) 9,0% аммонийный азот (N-NH 4 ) 1,4% карбамидный азот (N-NH 2 ) 11% Оксид фосфора ( P 2 O 5 ) 8,3% водорастворимый 10% Калий водорастворимый ( K 2 O ) 2,0% Магний ( MgO ) 0,02% Бор водорастворимый ( B ) 0,037% Медь водорастворимая ( Cu ) 0,33% Железо хелатированное (Fe-ЭДТА) 0,04% Марганец общий ( Mn ) 0,015% Молибден водорастворимый ( ( Mo ) 0,011% Цинк… (сокращено)</x:v>
      </x:c>
      <x:c r="H218" s="6" t="str">
        <x:v>Есть сведения; см. ограничения</x:v>
      </x:c>
      <x:c r="I218" s="6" t="str">
        <x:v>См. карточку</x:v>
      </x:c>
      <x:c r="J218" s="12" t="n">
        <x:v>1</x:v>
      </x:c>
      <x:c r="K218" s="6" t="str">
        <x:v>Близкий аналог не подтвержден</x:v>
      </x:c>
      <x:c r="L218" s="6"/>
      <x:c r="M218" s="13" t="str">
        <x:v>https://bio-kompleks.ru/catalog/vsya_produktsiya/osmokot-pro-3-4mes/</x:v>
      </x:c>
      <x:c r="N218" s="13"/>
    </x:row>
    <x:row r="219" ht="124" customHeight="1">
      <x:c r="A219" s="9" t="str">
        <x:v>P0214</x:v>
      </x:c>
      <x:c r="B219" s="9" t="str">
        <x:v>Био-комплекс</x:v>
      </x:c>
      <x:c r="C219" s="9" t="str">
        <x:v>Осмокот Про 5-6мес</x:v>
      </x:c>
      <x:c r="D219" s="9" t="str">
        <x:v>Средство для растений/почвы</x:v>
      </x:c>
      <x:c r="E219" s="9" t="str">
        <x:v>В продаже у Био-комплекса; производитель не приписан</x:v>
      </x:c>
      <x:c r="F219" s="9" t="str">
        <x:v>—</x:v>
      </x:c>
      <x:c r="G219" s="9" t="str">
        <x:v>питательных веществ: 17% Азот общий ( N ) 6,5% нитратный азот (N-NO 3 ) 8,8% аммонийный азот (N-NH 4 ) 1,7% карбамидный азот (N-NH 2 ) 11% Оксид фосфора ( P 2 O 5 ) 8,3% водорастворимый 10% Калий водорастворимый ( K 2 O ) 2,0% Магний (MgO) 0,02% Бор водорастворимый (B) 0,037% Медь водорастворимая (Cu) 0,33% Железо хелатированное (Fe-ЭДТА) 0,04% Марганец общий (Mn) 0,015% Молибден водорастворимый (Mo) 0,011% Цинк общий (Zn)</x:v>
      </x:c>
      <x:c r="H219" s="9" t="str">
        <x:v>Есть сведения; см. ограничения</x:v>
      </x:c>
      <x:c r="I219" s="9" t="str">
        <x:v>См. карточку</x:v>
      </x:c>
      <x:c r="J219" s="10" t="n">
        <x:v>1</x:v>
      </x:c>
      <x:c r="K219" s="9" t="str">
        <x:v>Близкий аналог не подтвержден</x:v>
      </x:c>
      <x:c r="L219" s="9"/>
      <x:c r="M219" s="11" t="str">
        <x:v>https://bio-kompleks.ru/catalog/vsya_produktsiya/osmokot-pro-5-6mes/</x:v>
      </x:c>
      <x:c r="N219" s="11"/>
    </x:row>
    <x:row r="220" ht="110" customHeight="1">
      <x:c r="A220" s="6" t="str">
        <x:v>P0215</x:v>
      </x:c>
      <x:c r="B220" s="6" t="str">
        <x:v>Био-комплекс</x:v>
      </x:c>
      <x:c r="C220" s="6" t="str">
        <x:v>Осмокот Экзакт Стандарт 3-4 мес</x:v>
      </x:c>
      <x:c r="D220" s="6" t="str">
        <x:v>Средство для растений/почвы</x:v>
      </x:c>
      <x:c r="E220" s="6" t="str">
        <x:v>В продаже у Био-комплекса; производитель не приписан</x:v>
      </x:c>
      <x:c r="F220" s="6" t="str">
        <x:v>—</x:v>
      </x:c>
      <x:c r="G220" s="6" t="str">
        <x:v>питательных веществ: 16% Азот общий (N) 7,1% нитратный азот (N-NO3) 8,9% аммонийный азот (N-NH4) 9% Оксид фосфора (P2O5) 6,8% водорастворимый 12% Калий водорастворимый (K2O) 2,% Магний (MgO) 0,03% Бор водорастворимый (B) 0,05% Медь водорастворимая (Cu) 0,45% Железо хелатированное (Fe-ЭДТА) 0,06% Марганец общий (Mn) 0,02% Молибден водорастворимый (Mo) 0,015% Цинк общий (Zn)</x:v>
      </x:c>
      <x:c r="H220" s="6" t="str">
        <x:v>Есть сведения; см. ограничения</x:v>
      </x:c>
      <x:c r="I220" s="6" t="str">
        <x:v>См. карточку</x:v>
      </x:c>
      <x:c r="J220" s="12" t="n">
        <x:v>1</x:v>
      </x:c>
      <x:c r="K220" s="6" t="str">
        <x:v>Близкий аналог не подтвержден</x:v>
      </x:c>
      <x:c r="L220" s="6"/>
      <x:c r="M220" s="13" t="str">
        <x:v>https://bio-kompleks.ru/catalog/vsya_produktsiya/osmokot-ekzakt-standart-3-4-mes/</x:v>
      </x:c>
      <x:c r="N220" s="13"/>
    </x:row>
    <x:row r="221" ht="124" customHeight="1">
      <x:c r="A221" s="9" t="str">
        <x:v>P0216</x:v>
      </x:c>
      <x:c r="B221" s="9" t="str">
        <x:v>Био-комплекс</x:v>
      </x:c>
      <x:c r="C221" s="9" t="str">
        <x:v>Осмокот Экзакт Стандарт 5-6 мес</x:v>
      </x:c>
      <x:c r="D221" s="9" t="str">
        <x:v>Средство для растений/почвы</x:v>
      </x:c>
      <x:c r="E221" s="9" t="str">
        <x:v>В продаже у Био-комплекса; производитель не приписан</x:v>
      </x:c>
      <x:c r="F221" s="9" t="str">
        <x:v>—</x:v>
      </x:c>
      <x:c r="G221" s="9" t="str">
        <x:v>питательных веществ: МАССОВАЯ ДОЛЯ ПИТАТЕЛЬНЫХ ВЕЩЕСТВ 15% Азот общий ( N ) 6,6% нитратный азот (N-NO 3 ) 8,4% аммонийный азот (N-NH 4 ) 9% Оксид фосфора ( P 2 O 5 ) 6,8% водорастворимый 12% Калий водорастворимый ( K 2 O ) 2,% Магний (MgO) 0,03% Бор водорастворимый (B) 0,05% Медь водорастворимая (Cu) 0,45% Железо хелатированное (Fe-ЭДТА) 0,06% Марганец общий (Mn) 0,02% Молибден водорастворимый (Mo) 0,015% Цинк общий (Zn)</x:v>
      </x:c>
      <x:c r="H221" s="9" t="str">
        <x:v>Есть сведения; см. ограничения</x:v>
      </x:c>
      <x:c r="I221" s="9" t="str">
        <x:v>См. карточку</x:v>
      </x:c>
      <x:c r="J221" s="10" t="n">
        <x:v>1</x:v>
      </x:c>
      <x:c r="K221" s="9" t="str">
        <x:v>Близкий аналог не подтвержден</x:v>
      </x:c>
      <x:c r="L221" s="9"/>
      <x:c r="M221" s="11" t="str">
        <x:v>https://bio-kompleks.ru/catalog/vsya_produktsiya/osmokot-ekzakt-standart-5-6-mes/</x:v>
      </x:c>
      <x:c r="N221" s="11"/>
    </x:row>
    <x:row r="222" ht="124" customHeight="1">
      <x:c r="A222" s="6" t="str">
        <x:v>P0217</x:v>
      </x:c>
      <x:c r="B222" s="6" t="str">
        <x:v>Био-комплекс</x:v>
      </x:c>
      <x:c r="C222" s="6" t="str">
        <x:v>Осмокот Экзакт Стандарт Хай К 5-6 мес</x:v>
      </x:c>
      <x:c r="D222" s="6" t="str">
        <x:v>Средство для растений/почвы</x:v>
      </x:c>
      <x:c r="E222" s="6" t="str">
        <x:v>В продаже у Био-комплекса; производитель не приписан</x:v>
      </x:c>
      <x:c r="F222" s="6" t="str">
        <x:v>—</x:v>
      </x:c>
      <x:c r="G222" s="6" t="str">
        <x:v>питательных веществ: 11% Азот общий ( N ) 4,2% нитратный азот (N-NO 3 ) 6,8% аммонийный азот (N-NH 4 ) 11% Оксид фосфора ( P 2 O 5 ) 8,2% водорастворимый 18% Калий водорастворимый ( K 2 O ) 1,5% Магний (MgO) 0,03% Бор водорастворимый (B) 0,05% Медь водорастворимая (Cu) 0,25% Железо хелатированное (Fe-ЭДТА) 0,03% Марганец общий (Mn) 0,01% Молибден водорастворимый (Mo) 0,01% Цинк общий (Zn)</x:v>
      </x:c>
      <x:c r="H222" s="6" t="str">
        <x:v>Есть сведения; см. ограничения</x:v>
      </x:c>
      <x:c r="I222" s="6" t="str">
        <x:v>См. карточку</x:v>
      </x:c>
      <x:c r="J222" s="12" t="n">
        <x:v>1</x:v>
      </x:c>
      <x:c r="K222" s="6" t="str">
        <x:v>Близкий аналог не подтвержден</x:v>
      </x:c>
      <x:c r="L222" s="6"/>
      <x:c r="M222" s="13" t="str">
        <x:v>https://bio-kompleks.ru/catalog/vsya_produktsiya/osmokot-ekzakt-standart-khay-k-5-6-mes/</x:v>
      </x:c>
      <x:c r="N222" s="13"/>
    </x:row>
    <x:row r="223" ht="68" customHeight="1">
      <x:c r="A223" s="9" t="str">
        <x:v>P0218</x:v>
      </x:c>
      <x:c r="B223" s="9" t="str">
        <x:v>Био-комплекс</x:v>
      </x:c>
      <x:c r="C223" s="9" t="str">
        <x:v>РАКЕТА, Удобрение для декоративных культур (колышки)</x:v>
      </x:c>
      <x:c r="D223" s="9" t="str">
        <x:v>Средство для растений/почвы</x:v>
      </x:c>
      <x:c r="E223" s="9" t="str">
        <x:v>Розничный каталог</x:v>
      </x:c>
      <x:c r="F223" s="9" t="str">
        <x:v>C24</x:v>
      </x:c>
      <x:c r="G223" s="9" t="str">
        <x:v>Количественный состав в прочитанном тексте не найден; см. карточку</x:v>
      </x:c>
      <x:c r="H223" s="9" t="str">
        <x:v>Полного состава нет в тексте</x:v>
      </x:c>
      <x:c r="I223" s="9" t="str">
        <x:v>Гранулы/колышки/палочки</x:v>
      </x:c>
      <x:c r="J223" s="10" t="n">
        <x:v>1</x:v>
      </x:c>
      <x:c r="K223" s="9" t="str">
        <x:v>См. коды и ограничения на листе «Сопоставления»</x:v>
      </x:c>
      <x:c r="L223" s="9"/>
      <x:c r="M223" s="11" t="str">
        <x:v>https://bio-kompleks.ru/catalog/vsya_produktsiya/raketa-udobrenie-dlya-dekorativnykh-kultur-kolyshki/</x:v>
      </x:c>
      <x:c r="N223" s="11"/>
    </x:row>
    <x:row r="224" ht="68" customHeight="1">
      <x:c r="A224" s="6" t="str">
        <x:v>P0219</x:v>
      </x:c>
      <x:c r="B224" s="6" t="str">
        <x:v>Био-комплекс</x:v>
      </x:c>
      <x:c r="C224" s="6" t="str">
        <x:v>РАКЕТА, Удобрение для плодово-ягодных кустарников (колышки)</x:v>
      </x:c>
      <x:c r="D224" s="6" t="str">
        <x:v>Средство для растений/почвы</x:v>
      </x:c>
      <x:c r="E224" s="6" t="str">
        <x:v>Розничный каталог</x:v>
      </x:c>
      <x:c r="F224" s="6" t="str">
        <x:v>C05; C20</x:v>
      </x:c>
      <x:c r="G224" s="6" t="str">
        <x:v>Количественный состав в прочитанном тексте не найден; см. карточку</x:v>
      </x:c>
      <x:c r="H224" s="6" t="str">
        <x:v>Полного состава нет в тексте</x:v>
      </x:c>
      <x:c r="I224" s="6" t="str">
        <x:v>Гранулы/колышки/палочки</x:v>
      </x:c>
      <x:c r="J224" s="12" t="n">
        <x:v>1</x:v>
      </x:c>
      <x:c r="K224" s="6" t="str">
        <x:v>См. коды и ограничения на листе «Сопоставления»</x:v>
      </x:c>
      <x:c r="L224" s="6"/>
      <x:c r="M224" s="13" t="str">
        <x:v>https://bio-kompleks.ru/catalog/vsya_produktsiya/raketa-udobrenie-dlya-plodovo-yagodnykh-kustarnikov-kolyshki/</x:v>
      </x:c>
      <x:c r="N224" s="13"/>
    </x:row>
    <x:row r="225" ht="68" customHeight="1">
      <x:c r="A225" s="9" t="str">
        <x:v>P0220</x:v>
      </x:c>
      <x:c r="B225" s="9" t="str">
        <x:v>Био-комплекс</x:v>
      </x:c>
      <x:c r="C225" s="9" t="str">
        <x:v>РАКЕТА, Удобрение для плодовых деревьев (колышки)</x:v>
      </x:c>
      <x:c r="D225" s="9" t="str">
        <x:v>Средство для растений/почвы</x:v>
      </x:c>
      <x:c r="E225" s="9" t="str">
        <x:v>Розничный каталог</x:v>
      </x:c>
      <x:c r="F225" s="9" t="str">
        <x:v>C20</x:v>
      </x:c>
      <x:c r="G225" s="9" t="str">
        <x:v>Количественный состав в прочитанном тексте не найден; см. карточку</x:v>
      </x:c>
      <x:c r="H225" s="9" t="str">
        <x:v>Полного состава нет в тексте</x:v>
      </x:c>
      <x:c r="I225" s="9" t="str">
        <x:v>Гранулы/колышки/палочки</x:v>
      </x:c>
      <x:c r="J225" s="10" t="n">
        <x:v>1</x:v>
      </x:c>
      <x:c r="K225" s="9" t="str">
        <x:v>См. коды и ограничения на листе «Сопоставления»</x:v>
      </x:c>
      <x:c r="L225" s="9"/>
      <x:c r="M225" s="11" t="str">
        <x:v>https://bio-kompleks.ru/catalog/vsya_produktsiya/raketa-udobrenie-dlya-plodovykh-derevev-kolyshki/</x:v>
      </x:c>
      <x:c r="N225" s="11"/>
    </x:row>
    <x:row r="226" ht="68" customHeight="1">
      <x:c r="A226" s="6" t="str">
        <x:v>P0221</x:v>
      </x:c>
      <x:c r="B226" s="6" t="str">
        <x:v>Био-комплекс</x:v>
      </x:c>
      <x:c r="C226" s="6" t="str">
        <x:v>РАКЕТА, Удобрение для хвойных культур (колышки)</x:v>
      </x:c>
      <x:c r="D226" s="6" t="str">
        <x:v>Средство для растений/почвы</x:v>
      </x:c>
      <x:c r="E226" s="6" t="str">
        <x:v>Розничный каталог</x:v>
      </x:c>
      <x:c r="F226" s="6" t="str">
        <x:v>C09</x:v>
      </x:c>
      <x:c r="G226" s="6" t="str">
        <x:v>Количественный состав в прочитанном тексте не найден; см. карточку</x:v>
      </x:c>
      <x:c r="H226" s="6" t="str">
        <x:v>Полного состава нет в тексте</x:v>
      </x:c>
      <x:c r="I226" s="6" t="str">
        <x:v>Гранулы/колышки/палочки</x:v>
      </x:c>
      <x:c r="J226" s="12" t="n">
        <x:v>1</x:v>
      </x:c>
      <x:c r="K226" s="6" t="str">
        <x:v>См. коды и ограничения на листе «Сопоставления»</x:v>
      </x:c>
      <x:c r="L226" s="6"/>
      <x:c r="M226" s="13" t="str">
        <x:v>https://bio-kompleks.ru/catalog/vsya_produktsiya/raketa-udobrenie-dlya-khvoynykh-kultur-kolyshki/</x:v>
      </x:c>
      <x:c r="N226" s="13"/>
    </x:row>
    <x:row r="227" ht="68" customHeight="1">
      <x:c r="A227" s="9" t="str">
        <x:v>P0222</x:v>
      </x:c>
      <x:c r="B227" s="9" t="str">
        <x:v>Био-комплекс</x:v>
      </x:c>
      <x:c r="C227" s="9" t="str">
        <x:v>РАКЕТА, Удобрение минеральное для гортензий (колышки)</x:v>
      </x:c>
      <x:c r="D227" s="9" t="str">
        <x:v>Средство для растений/почвы</x:v>
      </x:c>
      <x:c r="E227" s="9" t="str">
        <x:v>Розничный каталог</x:v>
      </x:c>
      <x:c r="F227" s="9" t="str">
        <x:v>C07</x:v>
      </x:c>
      <x:c r="G227" s="9" t="str">
        <x:v>Количественный состав в прочитанном тексте не найден; см. карточку</x:v>
      </x:c>
      <x:c r="H227" s="9" t="str">
        <x:v>Полного состава нет в тексте</x:v>
      </x:c>
      <x:c r="I227" s="9" t="str">
        <x:v>Гранулы/колышки/палочки</x:v>
      </x:c>
      <x:c r="J227" s="10" t="n">
        <x:v>1</x:v>
      </x:c>
      <x:c r="K227" s="9" t="str">
        <x:v>См. коды и ограничения на листе «Сопоставления»</x:v>
      </x:c>
      <x:c r="L227" s="9"/>
      <x:c r="M227" s="11" t="str">
        <x:v>https://bio-kompleks.ru/catalog/vsya_produktsiya/raketa-udobrenie-mineralnoe-dlya-gortenziy-kolyshki/</x:v>
      </x:c>
      <x:c r="N227" s="11"/>
    </x:row>
    <x:row r="228" ht="68" customHeight="1">
      <x:c r="A228" s="6" t="str">
        <x:v>P0223</x:v>
      </x:c>
      <x:c r="B228" s="6" t="str">
        <x:v>Био-комплекс</x:v>
      </x:c>
      <x:c r="C228" s="6" t="str">
        <x:v>РАКЕТА, Удобрение минеральное ОСЕННЕЕ для плодовых (колышки)</x:v>
      </x:c>
      <x:c r="D228" s="6" t="str">
        <x:v>Средство для растений/почвы</x:v>
      </x:c>
      <x:c r="E228" s="6" t="str">
        <x:v>Розничный каталог</x:v>
      </x:c>
      <x:c r="F228" s="6" t="str">
        <x:v>C20; C21</x:v>
      </x:c>
      <x:c r="G228" s="6" t="str">
        <x:v>Количественный состав в прочитанном тексте не найден; см. карточку</x:v>
      </x:c>
      <x:c r="H228" s="6" t="str">
        <x:v>Полного состава нет в тексте</x:v>
      </x:c>
      <x:c r="I228" s="6" t="str">
        <x:v>Гранулы/колышки/палочки</x:v>
      </x:c>
      <x:c r="J228" s="12" t="n">
        <x:v>1</x:v>
      </x:c>
      <x:c r="K228" s="6" t="str">
        <x:v>См. коды и ограничения на листе «Сопоставления»</x:v>
      </x:c>
      <x:c r="L228" s="6"/>
      <x:c r="M228" s="13" t="str">
        <x:v>https://bio-kompleks.ru/catalog/vsya_produktsiya/raketa-udobrenie-mineralnoe-osennee-dlya-plodovykh-kolyshki/</x:v>
      </x:c>
      <x:c r="N228" s="13"/>
    </x:row>
    <x:row r="229" ht="68" customHeight="1">
      <x:c r="A229" s="9" t="str">
        <x:v>P0224</x:v>
      </x:c>
      <x:c r="B229" s="9" t="str">
        <x:v>Био-комплекс</x:v>
      </x:c>
      <x:c r="C229" s="9" t="str">
        <x:v>РАКЕТА, Удобрение Универсальное (колышки)</x:v>
      </x:c>
      <x:c r="D229" s="9" t="str">
        <x:v>Средство для растений/почвы</x:v>
      </x:c>
      <x:c r="E229" s="9" t="str">
        <x:v>Розничный каталог</x:v>
      </x:c>
      <x:c r="F229" s="9" t="str">
        <x:v>C01</x:v>
      </x:c>
      <x:c r="G229" s="9" t="str">
        <x:v>Количественный состав в прочитанном тексте не найден; см. карточку</x:v>
      </x:c>
      <x:c r="H229" s="9" t="str">
        <x:v>Полного состава нет в тексте</x:v>
      </x:c>
      <x:c r="I229" s="9" t="str">
        <x:v>Гранулы/колышки/палочки</x:v>
      </x:c>
      <x:c r="J229" s="10" t="n">
        <x:v>1</x:v>
      </x:c>
      <x:c r="K229" s="9" t="str">
        <x:v>См. коды и ограничения на листе «Сопоставления»</x:v>
      </x:c>
      <x:c r="L229" s="9"/>
      <x:c r="M229" s="11" t="str">
        <x:v>https://bio-kompleks.ru/catalog/vsya_produktsiya/raketa_udobrenie_universalnoe_kolyshki_420g_18/</x:v>
      </x:c>
      <x:c r="N229" s="11"/>
    </x:row>
    <x:row r="230" ht="138" customHeight="1">
      <x:c r="A230" s="6" t="str">
        <x:v>P0225</x:v>
      </x:c>
      <x:c r="B230" s="6" t="str">
        <x:v>Био-комплекс</x:v>
      </x:c>
      <x:c r="C230" s="6" t="str">
        <x:v>Ростобион</x:v>
      </x:c>
      <x:c r="D230" s="6" t="str">
        <x:v>Средство для растений/почвы</x:v>
      </x:c>
      <x:c r="E230" s="6" t="str">
        <x:v>Розничный каталог</x:v>
      </x:c>
      <x:c r="F230" s="6" t="str">
        <x:v>G25</x:v>
      </x:c>
      <x:c r="G230" s="6" t="str">
        <x:v>Более 650 полезных веществ в сбалансированном состоянии: культивированная водная среда, комплекс уникальных биостимулирующих фитогормонов и физиологически активных веществ (гибберелины, ауксины, цитокинины и др.), белок высочайшего качества, включающий более 40 аминокислот, в т.ч. 20 основных, все известные витамины (А, В1, В2, В5, В6, В9, В12, С, D, Е, К, РР и др.), широкий набор макро- и микроэлементов в биодоступной форме,… (сокращено)</x:v>
      </x:c>
      <x:c r="H230" s="6" t="str">
        <x:v>Есть сведения; см. ограничения</x:v>
      </x:c>
      <x:c r="I230" s="6" t="str">
        <x:v>См. карточку</x:v>
      </x:c>
      <x:c r="J230" s="12" t="n">
        <x:v>1</x:v>
      </x:c>
      <x:c r="K230" s="6" t="str">
        <x:v>См. коды и ограничения на листе «Сопоставления»</x:v>
      </x:c>
      <x:c r="L230" s="6"/>
      <x:c r="M230" s="13" t="str">
        <x:v>https://bio-kompleks.ru/catalog/vsya_produktsiya/bio_kompleks_rostobion/</x:v>
      </x:c>
      <x:c r="N230" s="13"/>
    </x:row>
    <x:row r="231" ht="68" customHeight="1">
      <x:c r="A231" s="9" t="str">
        <x:v>P0226</x:v>
      </x:c>
      <x:c r="B231" s="9" t="str">
        <x:v>Био-комплекс</x:v>
      </x:c>
      <x:c r="C231" s="9" t="str">
        <x:v>Сера 400, КС от болезней и вредит. (мучн. роса, парша, клещ)</x:v>
      </x:c>
      <x:c r="D231" s="9" t="str">
        <x:v>Средство для растений/почвы</x:v>
      </x:c>
      <x:c r="E231" s="9" t="str">
        <x:v>В продаже у Био-комплекса; производитель не приписан</x:v>
      </x:c>
      <x:c r="F231" s="9" t="str">
        <x:v>G07</x:v>
      </x:c>
      <x:c r="G231" s="9" t="str">
        <x:v>Количественный состав в прочитанном тексте не найден; см. карточку</x:v>
      </x:c>
      <x:c r="H231" s="9" t="str">
        <x:v>Полного состава нет в тексте</x:v>
      </x:c>
      <x:c r="I231" s="9" t="str">
        <x:v>См. карточку</x:v>
      </x:c>
      <x:c r="J231" s="10" t="n">
        <x:v>1</x:v>
      </x:c>
      <x:c r="K231" s="9" t="str">
        <x:v>См. коды и ограничения на листе «Сопоставления»</x:v>
      </x:c>
      <x:c r="L231" s="9"/>
      <x:c r="M231" s="11" t="str">
        <x:v>https://bio-kompleks.ru/catalog/vsya_produktsiya/sera_400_ks_ot_bolezney_i_vredit_muchn_rosa_parsha_kleshch/</x:v>
      </x:c>
      <x:c r="N231" s="11"/>
    </x:row>
    <x:row r="232" ht="68" customHeight="1">
      <x:c r="A232" s="6" t="str">
        <x:v>P0227</x:v>
      </x:c>
      <x:c r="B232" s="6" t="str">
        <x:v>Био-комплекс</x:v>
      </x:c>
      <x:c r="C232" s="6" t="str">
        <x:v>Спрут Экстра, ВР от всех сорных растений (борщевик, кустарники)</x:v>
      </x:c>
      <x:c r="D232" s="6" t="str">
        <x:v>Средство для растений/почвы</x:v>
      </x:c>
      <x:c r="E232" s="6" t="str">
        <x:v>В продаже у Био-комплекса; производитель не приписан</x:v>
      </x:c>
      <x:c r="F232" s="6" t="str">
        <x:v>—</x:v>
      </x:c>
      <x:c r="G232" s="6" t="str">
        <x:v>Количественный состав в прочитанном тексте не найден; см. карточку</x:v>
      </x:c>
      <x:c r="H232" s="6" t="str">
        <x:v>Полного состава нет в тексте</x:v>
      </x:c>
      <x:c r="I232" s="6" t="str">
        <x:v>См. карточку</x:v>
      </x:c>
      <x:c r="J232" s="12" t="n">
        <x:v>1</x:v>
      </x:c>
      <x:c r="K232" s="6" t="str">
        <x:v>Близкий аналог не подтвержден</x:v>
      </x:c>
      <x:c r="L232" s="6"/>
      <x:c r="M232" s="13" t="str">
        <x:v>https://bio-kompleks.ru/catalog/vsya_produktsiya/sprut_ekstra_vr_ot_vsekh_sornykh_rasteniy_borshchevik_kustarniki/</x:v>
      </x:c>
      <x:c r="N232" s="13"/>
    </x:row>
    <x:row r="233" ht="68" customHeight="1">
      <x:c r="A233" s="9" t="str">
        <x:v>P0228</x:v>
      </x:c>
      <x:c r="B233" s="9" t="str">
        <x:v>Био-комплекс</x:v>
      </x:c>
      <x:c r="C233" s="9" t="str">
        <x:v>СтопУлит, Г от слизней улиток</x:v>
      </x:c>
      <x:c r="D233" s="9" t="str">
        <x:v>Средство для растений/почвы</x:v>
      </x:c>
      <x:c r="E233" s="9" t="str">
        <x:v>В продаже у Био-комплекса; производитель не приписан</x:v>
      </x:c>
      <x:c r="F233" s="9" t="str">
        <x:v>G31</x:v>
      </x:c>
      <x:c r="G233" s="9" t="str">
        <x:v>Количественный состав в прочитанном тексте не найден; см. карточку</x:v>
      </x:c>
      <x:c r="H233" s="9" t="str">
        <x:v>Полного состава нет в тексте</x:v>
      </x:c>
      <x:c r="I233" s="9" t="str">
        <x:v>См. карточку</x:v>
      </x:c>
      <x:c r="J233" s="10" t="n">
        <x:v>1</x:v>
      </x:c>
      <x:c r="K233" s="9" t="str">
        <x:v>См. коды и ограничения на листе «Сопоставления»</x:v>
      </x:c>
      <x:c r="L233" s="9"/>
      <x:c r="M233" s="11" t="str">
        <x:v>https://bio-kompleks.ru/catalog/vsya_produktsiya/stopulit_g_ot_slizney_ulitok/</x:v>
      </x:c>
      <x:c r="N233" s="11"/>
    </x:row>
    <x:row r="234" ht="68" customHeight="1">
      <x:c r="A234" s="6" t="str">
        <x:v>P0229</x:v>
      </x:c>
      <x:c r="B234" s="6" t="str">
        <x:v>Био-комплекс</x:v>
      </x:c>
      <x:c r="C234" s="6" t="str">
        <x:v>Ультрамаг Кальций, для плодов</x:v>
      </x:c>
      <x:c r="D234" s="6" t="str">
        <x:v>Средство для растений/почвы</x:v>
      </x:c>
      <x:c r="E234" s="6" t="str">
        <x:v>В продаже у Био-комплекса; производитель не приписан</x:v>
      </x:c>
      <x:c r="F234" s="6" t="str">
        <x:v>G18</x:v>
      </x:c>
      <x:c r="G234" s="6" t="str">
        <x:v>Количественный состав в прочитанном тексте не найден; см. карточку</x:v>
      </x:c>
      <x:c r="H234" s="6" t="str">
        <x:v>Полного состава нет в тексте</x:v>
      </x:c>
      <x:c r="I234" s="6" t="str">
        <x:v>См. карточку</x:v>
      </x:c>
      <x:c r="J234" s="12" t="n">
        <x:v>1</x:v>
      </x:c>
      <x:c r="K234" s="6" t="str">
        <x:v>См. коды и ограничения на листе «Сопоставления»</x:v>
      </x:c>
      <x:c r="L234" s="6"/>
      <x:c r="M234" s="13" t="str">
        <x:v>https://bio-kompleks.ru/catalog/vsya_produktsiya/ultramag_kaltsiy_dlya_plodov_amp_10_ml/</x:v>
      </x:c>
      <x:c r="N234" s="13"/>
    </x:row>
    <x:row r="235" ht="68" customHeight="1">
      <x:c r="A235" s="9" t="str">
        <x:v>P0230</x:v>
      </x:c>
      <x:c r="B235" s="9" t="str">
        <x:v>Био-комплекс</x:v>
      </x:c>
      <x:c r="C235" s="9" t="str">
        <x:v>Ультрамаг Хелат Железа, от пожелтения листьев</x:v>
      </x:c>
      <x:c r="D235" s="9" t="str">
        <x:v>Средство для растений/почвы</x:v>
      </x:c>
      <x:c r="E235" s="9" t="str">
        <x:v>В продаже у Био-комплекса; производитель не приписан</x:v>
      </x:c>
      <x:c r="F235" s="9" t="str">
        <x:v>G19</x:v>
      </x:c>
      <x:c r="G235" s="9" t="str">
        <x:v>Количественный состав в прочитанном тексте не найден; см. карточку</x:v>
      </x:c>
      <x:c r="H235" s="9" t="str">
        <x:v>Полного состава нет в тексте</x:v>
      </x:c>
      <x:c r="I235" s="9" t="str">
        <x:v>См. карточку</x:v>
      </x:c>
      <x:c r="J235" s="10" t="n">
        <x:v>1</x:v>
      </x:c>
      <x:c r="K235" s="9" t="str">
        <x:v>См. коды и ограничения на листе «Сопоставления»</x:v>
      </x:c>
      <x:c r="L235" s="9"/>
      <x:c r="M235" s="11" t="str">
        <x:v>https://bio-kompleks.ru/catalog/vsya_produktsiya/ultramag_khelat_zheleza_ot_pozhelteniya_listev_paket_10_g/</x:v>
      </x:c>
      <x:c r="N235" s="11"/>
    </x:row>
    <x:row r="236" ht="68" customHeight="1">
      <x:c r="A236" s="6" t="str">
        <x:v>P0231</x:v>
      </x:c>
      <x:c r="B236" s="6" t="str">
        <x:v>Био-комплекс</x:v>
      </x:c>
      <x:c r="C236" s="6" t="str">
        <x:v>Ультрамаг Хелат Меди, от скручивания листьев</x:v>
      </x:c>
      <x:c r="D236" s="6" t="str">
        <x:v>Средство для растений/почвы</x:v>
      </x:c>
      <x:c r="E236" s="6" t="str">
        <x:v>В продаже у Био-комплекса; производитель не приписан</x:v>
      </x:c>
      <x:c r="F236" s="6" t="str">
        <x:v>G21</x:v>
      </x:c>
      <x:c r="G236" s="6" t="str">
        <x:v>Количественный состав в прочитанном тексте не найден; см. карточку</x:v>
      </x:c>
      <x:c r="H236" s="6" t="str">
        <x:v>Полного состава нет в тексте</x:v>
      </x:c>
      <x:c r="I236" s="6" t="str">
        <x:v>См. карточку</x:v>
      </x:c>
      <x:c r="J236" s="12" t="n">
        <x:v>1</x:v>
      </x:c>
      <x:c r="K236" s="6" t="str">
        <x:v>См. коды и ограничения на листе «Сопоставления»</x:v>
      </x:c>
      <x:c r="L236" s="6"/>
      <x:c r="M236" s="13" t="str">
        <x:v>https://bio-kompleks.ru/catalog/vsya_produktsiya/ultramag_khelat_medi_ot_skruchivaniya_listev_paket_10_g/</x:v>
      </x:c>
      <x:c r="N236" s="13"/>
    </x:row>
    <x:row r="237" ht="68" customHeight="1">
      <x:c r="A237" s="9" t="str">
        <x:v>P0232</x:v>
      </x:c>
      <x:c r="B237" s="9" t="str">
        <x:v>Био-комплекс</x:v>
      </x:c>
      <x:c r="C237" s="9" t="str">
        <x:v>Ультрамаг Хелат Цинка, от пятнистости листьев</x:v>
      </x:c>
      <x:c r="D237" s="9" t="str">
        <x:v>Средство для растений/почвы</x:v>
      </x:c>
      <x:c r="E237" s="9" t="str">
        <x:v>В продаже у Био-комплекса; производитель не приписан</x:v>
      </x:c>
      <x:c r="F237" s="9" t="str">
        <x:v>G21</x:v>
      </x:c>
      <x:c r="G237" s="9" t="str">
        <x:v>Количественный состав в прочитанном тексте не найден; см. карточку</x:v>
      </x:c>
      <x:c r="H237" s="9" t="str">
        <x:v>Полного состава нет в тексте</x:v>
      </x:c>
      <x:c r="I237" s="9" t="str">
        <x:v>См. карточку</x:v>
      </x:c>
      <x:c r="J237" s="10" t="n">
        <x:v>1</x:v>
      </x:c>
      <x:c r="K237" s="9" t="str">
        <x:v>См. коды и ограничения на листе «Сопоставления»</x:v>
      </x:c>
      <x:c r="L237" s="9"/>
      <x:c r="M237" s="11" t="str">
        <x:v>https://bio-kompleks.ru/catalog/vsya_produktsiya/ultramag_khelat_tsinka_ot_pyatnistosti_listev_paket_10_g/</x:v>
      </x:c>
      <x:c r="N237" s="11"/>
    </x:row>
    <x:row r="238" ht="68" customHeight="1">
      <x:c r="A238" s="6" t="str">
        <x:v>P0233</x:v>
      </x:c>
      <x:c r="B238" s="6" t="str">
        <x:v>Био-комплекс</x:v>
      </x:c>
      <x:c r="C238" s="6" t="str">
        <x:v>Форвард, МКЭ от сорняков</x:v>
      </x:c>
      <x:c r="D238" s="6" t="str">
        <x:v>Средство для растений/почвы</x:v>
      </x:c>
      <x:c r="E238" s="6" t="str">
        <x:v>В продаже у Био-комплекса; производитель не приписан</x:v>
      </x:c>
      <x:c r="F238" s="6" t="str">
        <x:v>—</x:v>
      </x:c>
      <x:c r="G238" s="6" t="str">
        <x:v>Количественный состав в прочитанном тексте не найден; см. карточку</x:v>
      </x:c>
      <x:c r="H238" s="6" t="str">
        <x:v>Полного состава нет в тексте</x:v>
      </x:c>
      <x:c r="I238" s="6" t="str">
        <x:v>См. карточку</x:v>
      </x:c>
      <x:c r="J238" s="12" t="n">
        <x:v>1</x:v>
      </x:c>
      <x:c r="K238" s="6" t="str">
        <x:v>Близкий аналог не подтвержден</x:v>
      </x:c>
      <x:c r="L238" s="6"/>
      <x:c r="M238" s="13" t="str">
        <x:v>https://bio-kompleks.ru/catalog/vsya_produktsiya/forvard_mke_ot_sornyakov/</x:v>
      </x:c>
      <x:c r="N238" s="13"/>
    </x:row>
    <x:row r="239" ht="68" customHeight="1">
      <x:c r="A239" s="9" t="str">
        <x:v>P0234</x:v>
      </x:c>
      <x:c r="B239" s="9" t="str">
        <x:v>Био-комплекс</x:v>
      </x:c>
      <x:c r="C239" s="9" t="str">
        <x:v>Фуршет, ВС защита от ожогов (лиственные и хвойные раст.)</x:v>
      </x:c>
      <x:c r="D239" s="9" t="str">
        <x:v>Средство для растений/почвы</x:v>
      </x:c>
      <x:c r="E239" s="9" t="str">
        <x:v>В продаже у Био-комплекса; производитель не приписан</x:v>
      </x:c>
      <x:c r="F239" s="9" t="str">
        <x:v>—</x:v>
      </x:c>
      <x:c r="G239" s="9" t="str">
        <x:v>Количественный состав в прочитанном тексте не найден; см. карточку</x:v>
      </x:c>
      <x:c r="H239" s="9" t="str">
        <x:v>Полного состава нет в тексте</x:v>
      </x:c>
      <x:c r="I239" s="9" t="str">
        <x:v>См. карточку</x:v>
      </x:c>
      <x:c r="J239" s="10" t="n">
        <x:v>1</x:v>
      </x:c>
      <x:c r="K239" s="9" t="str">
        <x:v>Близкий аналог не подтвержден</x:v>
      </x:c>
      <x:c r="L239" s="9"/>
      <x:c r="M239" s="11" t="str">
        <x:v>https://bio-kompleks.ru/catalog/vsya_produktsiya/furshet_vs_zashchita_ot_ozhogov_listvennye_i_khvoynye_rast_/</x:v>
      </x:c>
      <x:c r="N239" s="11"/>
    </x:row>
    <x:row r="240" ht="68" customHeight="1">
      <x:c r="A240" s="6" t="str">
        <x:v>P0235</x:v>
      </x:c>
      <x:c r="B240" s="6" t="str">
        <x:v>Био-комплекс</x:v>
      </x:c>
      <x:c r="C240" s="6" t="str">
        <x:v>ХЭФК, ВР стимулятор ускорения созревания томатов и лука</x:v>
      </x:c>
      <x:c r="D240" s="6" t="str">
        <x:v>Средство для растений/почвы</x:v>
      </x:c>
      <x:c r="E240" s="6" t="str">
        <x:v>В продаже у Био-комплекса; производитель не приписан</x:v>
      </x:c>
      <x:c r="F240" s="6" t="str">
        <x:v>—</x:v>
      </x:c>
      <x:c r="G240" s="6" t="str">
        <x:v>Количественный состав в прочитанном тексте не найден; см. карточку</x:v>
      </x:c>
      <x:c r="H240" s="6" t="str">
        <x:v>Полного состава нет в тексте</x:v>
      </x:c>
      <x:c r="I240" s="6" t="str">
        <x:v>См. карточку</x:v>
      </x:c>
      <x:c r="J240" s="12" t="n">
        <x:v>1</x:v>
      </x:c>
      <x:c r="K240" s="6" t="str">
        <x:v>Близкий аналог не подтвержден</x:v>
      </x:c>
      <x:c r="L240" s="6"/>
      <x:c r="M240" s="13" t="str">
        <x:v>https://bio-kompleks.ru/catalog/vsya_produktsiya/khefk_vr_stimulyator_uskoreniya_sozrevaniya_tomatov_i_luka/</x:v>
      </x:c>
      <x:c r="N240" s="13"/>
    </x:row>
    <x:row r="241" ht="68" customHeight="1">
      <x:c r="A241" s="9" t="str">
        <x:v>P0236</x:v>
      </x:c>
      <x:c r="B241" s="9" t="str">
        <x:v>Био-комплекс</x:v>
      </x:c>
      <x:c r="C241" s="9" t="str">
        <x:v>Ширма, КС от болезней картофеля, яблони и винограда</x:v>
      </x:c>
      <x:c r="D241" s="9" t="str">
        <x:v>Средство для растений/почвы</x:v>
      </x:c>
      <x:c r="E241" s="9" t="str">
        <x:v>В продаже у Био-комплекса; производитель не приписан</x:v>
      </x:c>
      <x:c r="F241" s="9" t="str">
        <x:v>G30</x:v>
      </x:c>
      <x:c r="G241" s="9" t="str">
        <x:v>Количественный состав в прочитанном тексте не найден; см. карточку</x:v>
      </x:c>
      <x:c r="H241" s="9" t="str">
        <x:v>Полного состава нет в тексте</x:v>
      </x:c>
      <x:c r="I241" s="9" t="str">
        <x:v>См. карточку</x:v>
      </x:c>
      <x:c r="J241" s="10" t="n">
        <x:v>1</x:v>
      </x:c>
      <x:c r="K241" s="9" t="str">
        <x:v>См. коды и ограничения на листе «Сопоставления»</x:v>
      </x:c>
      <x:c r="L241" s="9"/>
      <x:c r="M241" s="11" t="str">
        <x:v>https://bio-kompleks.ru/catalog/vsya_produktsiya/shirma_ks_ot_bolezney_kartofelya_yabloni_i_vinograda/</x:v>
      </x:c>
      <x:c r="N241" s="11"/>
    </x:row>
    <x:row r="242" ht="68" customHeight="1">
      <x:c r="A242" s="6" t="str">
        <x:v>P0237</x:v>
      </x:c>
      <x:c r="B242" s="6" t="str">
        <x:v>Био-комплекс</x:v>
      </x:c>
      <x:c r="C242" s="6" t="str">
        <x:v>Эмистим, Р стимулятор завязей, иммунитета</x:v>
      </x:c>
      <x:c r="D242" s="6" t="str">
        <x:v>Средство для растений/почвы</x:v>
      </x:c>
      <x:c r="E242" s="6" t="str">
        <x:v>В продаже у Био-комплекса; производитель не приписан</x:v>
      </x:c>
      <x:c r="F242" s="6" t="str">
        <x:v>G38</x:v>
      </x:c>
      <x:c r="G242" s="6" t="str">
        <x:v>Количественный состав в прочитанном тексте не найден; см. карточку</x:v>
      </x:c>
      <x:c r="H242" s="6" t="str">
        <x:v>Полного состава нет в тексте</x:v>
      </x:c>
      <x:c r="I242" s="6" t="str">
        <x:v>См. карточку</x:v>
      </x:c>
      <x:c r="J242" s="12" t="n">
        <x:v>1</x:v>
      </x:c>
      <x:c r="K242" s="6" t="str">
        <x:v>См. коды и ограничения на листе «Сопоставления»</x:v>
      </x:c>
      <x:c r="L242" s="6"/>
      <x:c r="M242" s="13" t="str">
        <x:v>https://bio-kompleks.ru/catalog/vsya_produktsiya/emistim_r_stimulyator_zavyazey_immuniteta/</x:v>
      </x:c>
      <x:c r="N242" s="13"/>
    </x:row>
    <x:row r="243" ht="68" customHeight="1">
      <x:c r="A243" s="9" t="str">
        <x:v>P0238</x:v>
      </x:c>
      <x:c r="B243" s="9" t="str">
        <x:v>Био-комплекс</x:v>
      </x:c>
      <x:c r="C243" s="9" t="str">
        <x:v>Эсперо, КС от скрытоживущих вредит. хвойных и лиственных, системно-конт</x:v>
      </x:c>
      <x:c r="D243" s="9" t="str">
        <x:v>Средство для растений/почвы</x:v>
      </x:c>
      <x:c r="E243" s="9" t="str">
        <x:v>В продаже у Био-комплекса; производитель не приписан</x:v>
      </x:c>
      <x:c r="F243" s="9" t="str">
        <x:v>—</x:v>
      </x:c>
      <x:c r="G243" s="9" t="str">
        <x:v>Количественный состав в прочитанном тексте не найден; см. карточку</x:v>
      </x:c>
      <x:c r="H243" s="9" t="str">
        <x:v>Полного состава нет в тексте</x:v>
      </x:c>
      <x:c r="I243" s="9" t="str">
        <x:v>См. карточку</x:v>
      </x:c>
      <x:c r="J243" s="10" t="n">
        <x:v>1</x:v>
      </x:c>
      <x:c r="K243" s="9" t="str">
        <x:v>Близкий аналог не подтвержден</x:v>
      </x:c>
      <x:c r="L243" s="9"/>
      <x:c r="M243" s="11" t="str">
        <x:v>https://bio-kompleks.ru/catalog/vsya_produktsiya/espero_ks_ot_skrytozhivushchikh_vredit_khvoynykh_i_listvennykh_sistemno_kont/</x:v>
      </x:c>
      <x:c r="N243" s="11"/>
    </x:row>
    <x:row r="244" ht="68" customHeight="1">
      <x:c r="A244" s="6" t="str">
        <x:v>P0239</x:v>
      </x:c>
      <x:c r="B244" s="6" t="str">
        <x:v>Био-комплекс</x:v>
      </x:c>
      <x:c r="C244" s="6" t="str">
        <x:v>Юнона, МЭ от вредителей (плодожорка, листовертка)</x:v>
      </x:c>
      <x:c r="D244" s="6" t="str">
        <x:v>Средство для растений/почвы</x:v>
      </x:c>
      <x:c r="E244" s="6" t="str">
        <x:v>В продаже у Био-комплекса; производитель не приписан</x:v>
      </x:c>
      <x:c r="F244" s="6" t="str">
        <x:v>—</x:v>
      </x:c>
      <x:c r="G244" s="6" t="str">
        <x:v>Количественный состав в прочитанном тексте не найден; см. карточку</x:v>
      </x:c>
      <x:c r="H244" s="6" t="str">
        <x:v>Полного состава нет в тексте</x:v>
      </x:c>
      <x:c r="I244" s="6" t="str">
        <x:v>См. карточку</x:v>
      </x:c>
      <x:c r="J244" s="12" t="n">
        <x:v>1</x:v>
      </x:c>
      <x:c r="K244" s="6" t="str">
        <x:v>Близкий аналог не подтвержден</x:v>
      </x:c>
      <x:c r="L244" s="6"/>
      <x:c r="M244" s="13" t="str">
        <x:v>https://bio-kompleks.ru/catalog/vsya_produktsiya/yunona_me_ot_vrediteley_plodozhorka_listovertka/</x:v>
      </x:c>
      <x:c r="N244" s="13"/>
    </x:row>
    <x:row r="245" ht="68" customHeight="1">
      <x:c r="A245" s="9" t="str">
        <x:v>P0240</x:v>
      </x:c>
      <x:c r="B245" s="9" t="str">
        <x:v>Био-комплекс</x:v>
      </x:c>
      <x:c r="C245" s="9" t="str">
        <x:v>ДАЧНЫЙ ПОМОЩНИК, Для очистки бассейнов, концентрат</x:v>
      </x:c>
      <x:c r="D245" s="9" t="str">
        <x:v>Хозяйственное средство</x:v>
      </x:c>
      <x:c r="E245" s="9" t="str">
        <x:v>Розничный каталог</x:v>
      </x:c>
      <x:c r="F245" s="9" t="str">
        <x:v>—</x:v>
      </x:c>
      <x:c r="G245" s="9" t="str">
        <x:v>вода дистиллированная, сульфат алюминия высокой степени очистки, целевые добавки.</x:v>
      </x:c>
      <x:c r="H245" s="9" t="str">
        <x:v>Есть сведения; см. ограничения</x:v>
      </x:c>
      <x:c r="I245" s="9" t="str">
        <x:v>Жидкость/концентрат</x:v>
      </x:c>
      <x:c r="J245" s="10" t="n">
        <x:v>1</x:v>
      </x:c>
      <x:c r="K245" s="9" t="str">
        <x:v>Близкий аналог не подтвержден</x:v>
      </x:c>
      <x:c r="L245" s="9"/>
      <x:c r="M245" s="11" t="str">
        <x:v>https://bio-kompleks.ru/catalog/vsya_produktsiya/dachnyy_pomoshchnik_dlya_ochistki_basseynov_kontsentrat/</x:v>
      </x:c>
      <x:c r="N245" s="11"/>
    </x:row>
    <x:row r="246" ht="68" customHeight="1">
      <x:c r="A246" s="6" t="str">
        <x:v>P0241</x:v>
      </x:c>
      <x:c r="B246" s="6" t="str">
        <x:v>Био-комплекс</x:v>
      </x:c>
      <x:c r="C246" s="6" t="str">
        <x:v>ДАЧНЫЙ ПОМОЩНИК, Для септиков и выгребных ям Максимум</x:v>
      </x:c>
      <x:c r="D246" s="6" t="str">
        <x:v>Хозяйственное средство</x:v>
      </x:c>
      <x:c r="E246" s="6" t="str">
        <x:v>Розничный каталог</x:v>
      </x:c>
      <x:c r="F246" s="6" t="str">
        <x:v>G33</x:v>
      </x:c>
      <x:c r="G246" s="6" t="str">
        <x:v>смесь минеральных компонентов, натрий двууглекислый.</x:v>
      </x:c>
      <x:c r="H246" s="6" t="str">
        <x:v>Есть сведения; см. ограничения</x:v>
      </x:c>
      <x:c r="I246" s="6" t="str">
        <x:v>См. карточку</x:v>
      </x:c>
      <x:c r="J246" s="12" t="n">
        <x:v>1</x:v>
      </x:c>
      <x:c r="K246" s="6" t="str">
        <x:v>См. коды и ограничения на листе «Сопоставления»</x:v>
      </x:c>
      <x:c r="L246" s="6"/>
      <x:c r="M246" s="13" t="str">
        <x:v>https://bio-kompleks.ru/catalog/vsya_produktsiya/dachnyy_pomoshchnik_dlya_septikov_i_vygrebnykh_yam_maksimum/</x:v>
      </x:c>
      <x:c r="N246" s="13"/>
    </x:row>
    <x:row r="247" ht="68" customHeight="1">
      <x:c r="A247" s="9" t="str">
        <x:v>P0242</x:v>
      </x:c>
      <x:c r="B247" s="9" t="str">
        <x:v>Био-комплекс</x:v>
      </x:c>
      <x:c r="C247" s="9" t="str">
        <x:v>ДАЧНЫЙ ПОМОЩНИК, средство для биотуалетов (нижний бак)</x:v>
      </x:c>
      <x:c r="D247" s="9" t="str">
        <x:v>Хозяйственное средство</x:v>
      </x:c>
      <x:c r="E247" s="9" t="str">
        <x:v>Розничный каталог</x:v>
      </x:c>
      <x:c r="F247" s="9" t="str">
        <x:v>G33</x:v>
      </x:c>
      <x:c r="G247" s="9" t="str">
        <x:v>ПАВ, комплекс ЧАС, активные добавки, краситель, стойкая ароматическая композиция. Класс опасности: 3 (умеренно опасное вещество)</x:v>
      </x:c>
      <x:c r="H247" s="9" t="str">
        <x:v>Есть сведения; см. ограничения</x:v>
      </x:c>
      <x:c r="I247" s="9" t="str">
        <x:v>См. карточку</x:v>
      </x:c>
      <x:c r="J247" s="10" t="n">
        <x:v>1</x:v>
      </x:c>
      <x:c r="K247" s="9" t="str">
        <x:v>См. коды и ограничения на листе «Сопоставления»</x:v>
      </x:c>
      <x:c r="L247" s="9"/>
      <x:c r="M247" s="11" t="str">
        <x:v>https://bio-kompleks.ru/catalog/vsya_produktsiya/dachnyy_pomoshchnik_sredstvo_dlya_biotualetov_nizhniy_bak/</x:v>
      </x:c>
      <x:c r="N247" s="11"/>
    </x:row>
    <x:row r="248" ht="68" customHeight="1">
      <x:c r="A248" s="6" t="str">
        <x:v>P0243</x:v>
      </x:c>
      <x:c r="B248" s="6" t="str">
        <x:v>Био-комплекс</x:v>
      </x:c>
      <x:c r="C248" s="6" t="str">
        <x:v>ДАЧНЫЙ ПОМОЩНИК, средство для дачных туалетов и выгребных ям</x:v>
      </x:c>
      <x:c r="D248" s="6" t="str">
        <x:v>Хозяйственное средство</x:v>
      </x:c>
      <x:c r="E248" s="6" t="str">
        <x:v>Розничный каталог</x:v>
      </x:c>
      <x:c r="F248" s="6" t="str">
        <x:v>G33</x:v>
      </x:c>
      <x:c r="G248" s="6" t="str">
        <x:v>ПАВ, комплекс ЧАС, пропиленгликоль, активные добавки. Класс опасности: 3 (умеренно опасное вещество)</x:v>
      </x:c>
      <x:c r="H248" s="6" t="str">
        <x:v>Есть сведения; см. ограничения</x:v>
      </x:c>
      <x:c r="I248" s="6" t="str">
        <x:v>См. карточку</x:v>
      </x:c>
      <x:c r="J248" s="12" t="n">
        <x:v>1</x:v>
      </x:c>
      <x:c r="K248" s="6" t="str">
        <x:v>См. коды и ограничения на листе «Сопоставления»</x:v>
      </x:c>
      <x:c r="L248" s="6"/>
      <x:c r="M248" s="13" t="str">
        <x:v>https://bio-kompleks.ru/catalog/vsya_produktsiya/dachnyy_pomoshchnik_sredstvo_dlya_dachnykh_tualetov_i_vygrebnykh_yam/</x:v>
      </x:c>
      <x:c r="N248" s="13"/>
    </x:row>
    <x:row r="249" ht="68" customHeight="1">
      <x:c r="A249" s="9" t="str">
        <x:v>P0244</x:v>
      </x:c>
      <x:c r="B249" s="9" t="str">
        <x:v>Био-комплекс</x:v>
      </x:c>
      <x:c r="C249" s="9" t="str">
        <x:v>ДАЧНЫЙ ПОМОЩНИК, средство для септиков</x:v>
      </x:c>
      <x:c r="D249" s="9" t="str">
        <x:v>Хозяйственное средство</x:v>
      </x:c>
      <x:c r="E249" s="9" t="str">
        <x:v>Розничный каталог</x:v>
      </x:c>
      <x:c r="F249" s="9" t="str">
        <x:v>G33</x:v>
      </x:c>
      <x:c r="G249" s="9" t="str">
        <x:v>вода, ПАВ, комплекс ЧАС. Класс опасности: 3 (умеренно опасное вещество)</x:v>
      </x:c>
      <x:c r="H249" s="9" t="str">
        <x:v>Есть сведения; см. ограничения</x:v>
      </x:c>
      <x:c r="I249" s="9" t="str">
        <x:v>См. карточку</x:v>
      </x:c>
      <x:c r="J249" s="10" t="n">
        <x:v>1</x:v>
      </x:c>
      <x:c r="K249" s="9" t="str">
        <x:v>См. коды и ограничения на листе «Сопоставления»</x:v>
      </x:c>
      <x:c r="L249" s="9"/>
      <x:c r="M249" s="11" t="str">
        <x:v>https://bio-kompleks.ru/catalog/vsya_produktsiya/dachnyy_pomoshchnik_sredstvo_dlya_septikov/</x:v>
      </x:c>
      <x:c r="N249" s="11"/>
    </x:row>
    <x:row r="250" ht="68" customHeight="1">
      <x:c r="A250" s="6" t="str">
        <x:v>P0245</x:v>
      </x:c>
      <x:c r="B250" s="6" t="str">
        <x:v>Био-комплекс</x:v>
      </x:c>
      <x:c r="C250" s="6" t="str">
        <x:v>ДАЧНЫЙ ПОМОЩНИК, Трубочист, для чистки дымоходов, каминов, печей, Расщепитель сажи</x:v>
      </x:c>
      <x:c r="D250" s="6" t="str">
        <x:v>Хозяйственное средство</x:v>
      </x:c>
      <x:c r="E250" s="6" t="str">
        <x:v>Розничный каталог</x:v>
      </x:c>
      <x:c r="F250" s="6" t="str">
        <x:v>—</x:v>
      </x:c>
      <x:c r="G250" s="6" t="str">
        <x:v>хлорид аммония, соли калия, комплекс целевых добавок.</x:v>
      </x:c>
      <x:c r="H250" s="6" t="str">
        <x:v>Есть сведения; см. ограничения</x:v>
      </x:c>
      <x:c r="I250" s="6" t="str">
        <x:v>См. карточку</x:v>
      </x:c>
      <x:c r="J250" s="12" t="n">
        <x:v>1</x:v>
      </x:c>
      <x:c r="K250" s="6" t="str">
        <x:v>Близкий аналог не подтвержден</x:v>
      </x:c>
      <x:c r="L250" s="6"/>
      <x:c r="M250" s="13" t="str">
        <x:v>https://bio-kompleks.ru/catalog/vsya_produktsiya/dachnyy-pomoshchnik-trubochist-dlya-chistki-dymokhodov-kaminov-pechey-rasshchepitel-sazhi/</x:v>
      </x:c>
      <x:c r="N250" s="13"/>
    </x:row>
    <x:row r="251" ht="68" customHeight="1">
      <x:c r="A251" s="9" t="str">
        <x:v>P0246</x:v>
      </x:c>
      <x:c r="B251" s="9" t="str">
        <x:v>Био-комплекс</x:v>
      </x:c>
      <x:c r="C251" s="9" t="str">
        <x:v>ДАЧНЫЙ ПОМОЩНИК, Трубочист, для чистки дымоходов, каминов, печей, Расщепитель сажи Максимум</x:v>
      </x:c>
      <x:c r="D251" s="9" t="str">
        <x:v>Хозяйственное средство</x:v>
      </x:c>
      <x:c r="E251" s="9" t="str">
        <x:v>Розничный каталог</x:v>
      </x:c>
      <x:c r="F251" s="9" t="str">
        <x:v>—</x:v>
      </x:c>
      <x:c r="G251" s="9" t="str">
        <x:v>хлорид аммония, соли калия, комплекс целевых добавок.</x:v>
      </x:c>
      <x:c r="H251" s="9" t="str">
        <x:v>Есть сведения; см. ограничения</x:v>
      </x:c>
      <x:c r="I251" s="9" t="str">
        <x:v>См. карточку</x:v>
      </x:c>
      <x:c r="J251" s="10" t="n">
        <x:v>1</x:v>
      </x:c>
      <x:c r="K251" s="9" t="str">
        <x:v>Близкий аналог не подтвержден</x:v>
      </x:c>
      <x:c r="L251" s="9"/>
      <x:c r="M251" s="11" t="str">
        <x:v>https://bio-kompleks.ru/catalog/vsya_produktsiya/dachnyy-pomoshchnik-trubochist-dlya-chistki-dymokhodov-kaminov-pechey-rasshchepitel-sazhi-maksimum/</x:v>
      </x:c>
      <x:c r="N251" s="11"/>
    </x:row>
    <x:row r="252" ht="68" customHeight="1">
      <x:c r="A252" s="6" t="str">
        <x:v>P0247</x:v>
      </x:c>
      <x:c r="B252" s="6" t="str">
        <x:v>Био-комплекс</x:v>
      </x:c>
      <x:c r="C252" s="6" t="str">
        <x:v>ДП, Биозащита древесины антисептик</x:v>
      </x:c>
      <x:c r="D252" s="6" t="str">
        <x:v>Хозяйственное средство</x:v>
      </x:c>
      <x:c r="E252" s="6" t="str">
        <x:v>Розничный каталог</x:v>
      </x:c>
      <x:c r="F252" s="6" t="str">
        <x:v>—</x:v>
      </x:c>
      <x:c r="G252" s="6" t="str">
        <x:v>Количественный состав в прочитанном тексте не найден; см. карточку</x:v>
      </x:c>
      <x:c r="H252" s="6" t="str">
        <x:v>Полного состава нет в тексте</x:v>
      </x:c>
      <x:c r="I252" s="6" t="str">
        <x:v>См. карточку</x:v>
      </x:c>
      <x:c r="J252" s="12" t="n">
        <x:v>1</x:v>
      </x:c>
      <x:c r="K252" s="6" t="str">
        <x:v>Близкий аналог не подтвержден</x:v>
      </x:c>
      <x:c r="L252" s="6"/>
      <x:c r="M252" s="13" t="str">
        <x:v>https://bio-kompleks.ru/catalog/vsya_produktsiya/dp_biozashchita_drevesiny_antiseptik/</x:v>
      </x:c>
      <x:c r="N252" s="13"/>
    </x:row>
    <x:row r="253" ht="68" customHeight="1">
      <x:c r="A253" s="9" t="str">
        <x:v>P0248</x:v>
      </x:c>
      <x:c r="B253" s="9" t="str">
        <x:v>Био-комплекс</x:v>
      </x:c>
      <x:c r="C253" s="9" t="str">
        <x:v>Набор удобрений ДЛЯ ГОРТЕНЗИИ на весь сезон</x:v>
      </x:c>
      <x:c r="D253" s="9" t="str">
        <x:v>Набор, не отдельный препарат</x:v>
      </x:c>
      <x:c r="E253" s="9" t="str">
        <x:v>Розничный каталог</x:v>
      </x:c>
      <x:c r="F253" s="9" t="str">
        <x:v>—</x:v>
      </x:c>
      <x:c r="G253" s="9" t="str">
        <x:v>Азот, фосфор, калий, натрий, гуминовые вещества, лимонная кислота. Гарантийный срок хранения: 18 месяцев со дня изготовления продукта.</x:v>
      </x:c>
      <x:c r="H253" s="9" t="str">
        <x:v>Есть сведения; см. ограничения</x:v>
      </x:c>
      <x:c r="I253" s="9" t="str">
        <x:v>См. карточку</x:v>
      </x:c>
      <x:c r="J253" s="10" t="n">
        <x:v>1</x:v>
      </x:c>
      <x:c r="K253" s="9" t="str">
        <x:v>Сравнивать состав набора по отдельным товарам</x:v>
      </x:c>
      <x:c r="L253" s="9"/>
      <x:c r="M253" s="11" t="str">
        <x:v>https://bio-kompleks.ru/catalog/vsya_produktsiya/nabor_udobreniy_dlya_gortenzii_na_ves_sezon_4/</x:v>
      </x:c>
      <x:c r="N253" s="11"/>
    </x:row>
    <x:row r="254" ht="68" customHeight="1">
      <x:c r="A254" s="6" t="str">
        <x:v>P0249</x:v>
      </x:c>
      <x:c r="B254" s="6" t="str">
        <x:v>Био-комплекс</x:v>
      </x:c>
      <x:c r="C254" s="6" t="str">
        <x:v>Набор удобрений ДЛЯ РОЗЫ на весь сезон</x:v>
      </x:c>
      <x:c r="D254" s="6" t="str">
        <x:v>Набор, не отдельный препарат</x:v>
      </x:c>
      <x:c r="E254" s="6" t="str">
        <x:v>Розничный каталог</x:v>
      </x:c>
      <x:c r="F254" s="6" t="str">
        <x:v>—</x:v>
      </x:c>
      <x:c r="G254" s="6" t="str">
        <x:v>Азот, фосфор, калий, сера, натрий, гуминовые вещества. Гарантийный срок хранения: 24 месяца со дня изготовления продукта.</x:v>
      </x:c>
      <x:c r="H254" s="6" t="str">
        <x:v>Есть сведения; см. ограничения</x:v>
      </x:c>
      <x:c r="I254" s="6" t="str">
        <x:v>См. карточку</x:v>
      </x:c>
      <x:c r="J254" s="12" t="n">
        <x:v>1</x:v>
      </x:c>
      <x:c r="K254" s="6" t="str">
        <x:v>Сравнивать состав набора по отдельным товарам</x:v>
      </x:c>
      <x:c r="L254" s="6"/>
      <x:c r="M254" s="13" t="str">
        <x:v>https://bio-kompleks.ru/catalog/vsya_produktsiya/nabor_udobreniy_dlya_rozy_na_ves_sezon_4/</x:v>
      </x:c>
      <x:c r="N254" s="13"/>
    </x:row>
    <x:row r="255" ht="68" customHeight="1">
      <x:c r="A255" s="9" t="str">
        <x:v>P0250</x:v>
      </x:c>
      <x:c r="B255" s="9" t="str">
        <x:v>5сезонов</x:v>
      </x:c>
      <x:c r="C255" s="9" t="str">
        <x:v>MAXI 3 в 1</x:v>
      </x:c>
      <x:c r="D255" s="9" t="str">
        <x:v>Средство для растений/почвы</x:v>
      </x:c>
      <x:c r="E255" s="9" t="str">
        <x:v>Розничный каталог</x:v>
      </x:c>
      <x:c r="F255" s="9" t="str">
        <x:v>G11; G33</x:v>
      </x:c>
      <x:c r="G255" s="9" t="str">
        <x:v>Микроорганизмы для переработки органики; виды и титр не раскрыты</x:v>
      </x:c>
      <x:c r="H255" s="9" t="str">
        <x:v>Частичные сведения/этикетки</x:v>
      </x:c>
      <x:c r="I255" s="9" t="str">
        <x:v>См. карточку</x:v>
      </x:c>
      <x:c r="J255" s="10" t="n">
        <x:v>2</x:v>
      </x:c>
      <x:c r="K255" s="9" t="str">
        <x:v>См. коды и ограничения на листе «Сопоставления»</x:v>
      </x:c>
      <x:c r="L255" s="9"/>
      <x:c r="M255" s="11" t="str">
        <x:v>https://5-sezonov.ru/</x:v>
      </x:c>
      <x:c r="N255" s="11" t="str">
        <x:v>https://5-sezonov.ru/pictures/product/big/4548_big.png</x:v>
      </x:c>
    </x:row>
    <x:row r="256" ht="68" customHeight="1">
      <x:c r="A256" s="6" t="str">
        <x:v>P0251</x:v>
      </x:c>
      <x:c r="B256" s="6" t="str">
        <x:v>5сезонов</x:v>
      </x:c>
      <x:c r="C256" s="6" t="str">
        <x:v>MAXI Гумат противоклещ с метаризином</x:v>
      </x:c>
      <x:c r="D256" s="6" t="str">
        <x:v>Средство для растений/почвы</x:v>
      </x:c>
      <x:c r="E256" s="6" t="str">
        <x:v>Розничный каталог</x:v>
      </x:c>
      <x:c r="F256" s="6" t="str">
        <x:v>G16</x:v>
      </x:c>
      <x:c r="G256" s="6" t="str">
        <x:v>Гумат + метаризин по названию; вид, штамм, титр и концентрация не подтверждены</x:v>
      </x:c>
      <x:c r="H256" s="6" t="str">
        <x:v>Частичные сведения/этикетки</x:v>
      </x:c>
      <x:c r="I256" s="6" t="str">
        <x:v>См. карточку</x:v>
      </x:c>
      <x:c r="J256" s="12" t="n">
        <x:v>2</x:v>
      </x:c>
      <x:c r="K256" s="6" t="str">
        <x:v>См. коды и ограничения на листе «Сопоставления»</x:v>
      </x:c>
      <x:c r="L256" s="6"/>
      <x:c r="M256" s="13" t="str">
        <x:v>https://5-sezonov.ru/</x:v>
      </x:c>
      <x:c r="N256" s="13" t="str">
        <x:v>https://5-sezonov.ru/</x:v>
      </x:c>
    </x:row>
    <x:row r="257" ht="68" customHeight="1">
      <x:c r="A257" s="9" t="str">
        <x:v>P0252</x:v>
      </x:c>
      <x:c r="B257" s="9" t="str">
        <x:v>5сезонов</x:v>
      </x:c>
      <x:c r="C257" s="9" t="str">
        <x:v>MAXI Гумус</x:v>
      </x:c>
      <x:c r="D257" s="9" t="str">
        <x:v>Средство для растений/почвы</x:v>
      </x:c>
      <x:c r="E257" s="9" t="str">
        <x:v>Розничный каталог</x:v>
      </x:c>
      <x:c r="F257" s="9" t="str">
        <x:v>G01; G39</x:v>
      </x:c>
      <x:c r="G257" s="9" t="str">
        <x:v>Аминокислоты, гуминовые/фульвовые вещества, микроорганизмы, хитин, витамины. N/P/K ≥2,6/1,7/2% НА СУХОЕ ВЕЩЕСТВО; гуминовые вещества ≥5 г/л. Полной спецификации нет.</x:v>
      </x:c>
      <x:c r="H257" s="9" t="str">
        <x:v>Частичные сведения/этикетки</x:v>
      </x:c>
      <x:c r="I257" s="9" t="str">
        <x:v>См. карточку</x:v>
      </x:c>
      <x:c r="J257" s="10" t="n">
        <x:v>2</x:v>
      </x:c>
      <x:c r="K257" s="9" t="str">
        <x:v>См. коды и ограничения на листе «Сопоставления»</x:v>
      </x:c>
      <x:c r="L257" s="9"/>
      <x:c r="M257" s="11" t="str">
        <x:v>https://5-sezonov.ru/</x:v>
      </x:c>
      <x:c r="N257" s="11" t="str">
        <x:v>https://5-sezonov.ru/pictures/product/big/4612_big.jpg</x:v>
      </x:c>
    </x:row>
    <x:row r="258" ht="68" customHeight="1">
      <x:c r="A258" s="6" t="str">
        <x:v>P0253</x:v>
      </x:c>
      <x:c r="B258" s="6" t="str">
        <x:v>5сезонов</x:v>
      </x:c>
      <x:c r="C258" s="6" t="str">
        <x:v>MAXI Корень</x:v>
      </x:c>
      <x:c r="D258" s="6" t="str">
        <x:v>Средство для растений/почвы</x:v>
      </x:c>
      <x:c r="E258" s="6" t="str">
        <x:v>Розничный каталог</x:v>
      </x:c>
      <x:c r="F258" s="6" t="str">
        <x:v>G10; G39</x:v>
      </x:c>
      <x:c r="G258" s="6" t="str">
        <x:v>Гумат-концентрат по этикетке; полный количественный состав не подтвержден</x:v>
      </x:c>
      <x:c r="H258" s="6" t="str">
        <x:v>Частичные сведения/этикетки</x:v>
      </x:c>
      <x:c r="I258" s="6" t="str">
        <x:v>См. карточку</x:v>
      </x:c>
      <x:c r="J258" s="12" t="n">
        <x:v>2</x:v>
      </x:c>
      <x:c r="K258" s="6" t="str">
        <x:v>См. коды и ограничения на листе «Сопоставления»</x:v>
      </x:c>
      <x:c r="L258" s="6"/>
      <x:c r="M258" s="13" t="str">
        <x:v>https://5-sezonov.ru/</x:v>
      </x:c>
      <x:c r="N258" s="13" t="str">
        <x:v>https://5-sezonov.ru/pictures/product/big/4559_big.png</x:v>
      </x:c>
    </x:row>
    <x:row r="259" ht="68" customHeight="1">
      <x:c r="A259" s="9" t="str">
        <x:v>P0254</x:v>
      </x:c>
      <x:c r="B259" s="9" t="str">
        <x:v>5сезонов</x:v>
      </x:c>
      <x:c r="C259" s="9" t="str">
        <x:v>MAXI Плодородие</x:v>
      </x:c>
      <x:c r="D259" s="9" t="str">
        <x:v>Средство для растений/почвы</x:v>
      </x:c>
      <x:c r="E259" s="9" t="str">
        <x:v>Розничный каталог</x:v>
      </x:c>
      <x:c r="F259" s="9" t="str">
        <x:v>G39</x:v>
      </x:c>
      <x:c r="G259" s="9" t="str">
        <x:v>Почвенный концентрат; полный состав не раскрыт в текстовой карточке</x:v>
      </x:c>
      <x:c r="H259" s="9" t="str">
        <x:v>Частичные сведения/этикетки</x:v>
      </x:c>
      <x:c r="I259" s="9" t="str">
        <x:v>Жидкость/концентрат</x:v>
      </x:c>
      <x:c r="J259" s="10" t="n">
        <x:v>2</x:v>
      </x:c>
      <x:c r="K259" s="9" t="str">
        <x:v>См. коды и ограничения на листе «Сопоставления»</x:v>
      </x:c>
      <x:c r="L259" s="9"/>
      <x:c r="M259" s="11" t="str">
        <x:v>https://5-sezonov.ru/</x:v>
      </x:c>
      <x:c r="N259" s="11" t="str">
        <x:v>https://5-sezonov.ru/</x:v>
      </x:c>
    </x:row>
    <x:row r="260" ht="68" customHeight="1">
      <x:c r="A260" s="6" t="str">
        <x:v>P0255</x:v>
      </x:c>
      <x:c r="B260" s="6" t="str">
        <x:v>5сезонов</x:v>
      </x:c>
      <x:c r="C260" s="6" t="str">
        <x:v>MAXI Рост антигусеница с лепидоцидом</x:v>
      </x:c>
      <x:c r="D260" s="6" t="str">
        <x:v>Средство для растений/почвы</x:v>
      </x:c>
      <x:c r="E260" s="6" t="str">
        <x:v>Розничный каталог</x:v>
      </x:c>
      <x:c r="F260" s="6" t="str">
        <x:v>G15</x:v>
      </x:c>
      <x:c r="G260" s="6" t="str">
        <x:v>Лепидоцид и микроорганизмы по названию/этикетке; штамм и титр не подтверждены</x:v>
      </x:c>
      <x:c r="H260" s="6" t="str">
        <x:v>Частичные сведения/этикетки</x:v>
      </x:c>
      <x:c r="I260" s="6" t="str">
        <x:v>См. карточку</x:v>
      </x:c>
      <x:c r="J260" s="12" t="n">
        <x:v>2</x:v>
      </x:c>
      <x:c r="K260" s="6" t="str">
        <x:v>См. коды и ограничения на листе «Сопоставления»</x:v>
      </x:c>
      <x:c r="L260" s="6"/>
      <x:c r="M260" s="13" t="str">
        <x:v>https://5-sezonov.ru/</x:v>
      </x:c>
      <x:c r="N260" s="13" t="str">
        <x:v>https://5-sezonov.ru/pictures/product/big/4538_big.png</x:v>
      </x:c>
    </x:row>
    <x:row r="261" ht="68" customHeight="1">
      <x:c r="A261" s="9" t="str">
        <x:v>P0256</x:v>
      </x:c>
      <x:c r="B261" s="9" t="str">
        <x:v>5сезонов</x:v>
      </x:c>
      <x:c r="C261" s="9" t="str">
        <x:v>MAXI Сапропель</x:v>
      </x:c>
      <x:c r="D261" s="9" t="str">
        <x:v>Средство для растений/почвы</x:v>
      </x:c>
      <x:c r="E261" s="9" t="str">
        <x:v>Розничный каталог</x:v>
      </x:c>
      <x:c r="F261" s="9" t="str">
        <x:v>G08</x:v>
      </x:c>
      <x:c r="G261" s="9" t="str">
        <x:v>Сапропель 100%; количественные показатели элементов не приведены</x:v>
      </x:c>
      <x:c r="H261" s="9" t="str">
        <x:v>Частичные сведения/этикетки</x:v>
      </x:c>
      <x:c r="I261" s="9" t="str">
        <x:v>См. карточку</x:v>
      </x:c>
      <x:c r="J261" s="10" t="n">
        <x:v>1</x:v>
      </x:c>
      <x:c r="K261" s="9" t="str">
        <x:v>См. коды и ограничения на листе «Сопоставления»</x:v>
      </x:c>
      <x:c r="L261" s="9"/>
      <x:c r="M261" s="11" t="str">
        <x:v>https://5-sezonov.ru/</x:v>
      </x:c>
      <x:c r="N261" s="11" t="str">
        <x:v>https://5-sezonov.ru/</x:v>
      </x:c>
    </x:row>
    <x:row r="262" ht="68" customHeight="1">
      <x:c r="A262" s="6" t="str">
        <x:v>P0257</x:v>
      </x:c>
      <x:c r="B262" s="6" t="str">
        <x:v>5сезонов</x:v>
      </x:c>
      <x:c r="C262" s="6" t="str">
        <x:v>MAXI Урожай</x:v>
      </x:c>
      <x:c r="D262" s="6" t="str">
        <x:v>Средство для растений/почвы</x:v>
      </x:c>
      <x:c r="E262" s="6" t="str">
        <x:v>Розничный каталог</x:v>
      </x:c>
      <x:c r="F262" s="6" t="str">
        <x:v>G10</x:v>
      </x:c>
      <x:c r="G262" s="6" t="str">
        <x:v>Комбинированный почвоулучшитель/стимулятор корней; полный состав не подтвержден</x:v>
      </x:c>
      <x:c r="H262" s="6" t="str">
        <x:v>Частичные сведения/этикетки</x:v>
      </x:c>
      <x:c r="I262" s="6" t="str">
        <x:v>См. карточку</x:v>
      </x:c>
      <x:c r="J262" s="12" t="n">
        <x:v>2</x:v>
      </x:c>
      <x:c r="K262" s="6" t="str">
        <x:v>См. коды и ограничения на листе «Сопоставления»</x:v>
      </x:c>
      <x:c r="L262" s="6"/>
      <x:c r="M262" s="13" t="str">
        <x:v>https://5-sezonov.ru/</x:v>
      </x:c>
      <x:c r="N262" s="13" t="str">
        <x:v>https://5-sezonov.ru/</x:v>
      </x:c>
    </x:row>
    <x:row r="263" ht="68" customHeight="1">
      <x:c r="A263" s="9" t="str">
        <x:v>P0258</x:v>
      </x:c>
      <x:c r="B263" s="9" t="str">
        <x:v>5сезонов</x:v>
      </x:c>
      <x:c r="C263" s="9" t="str">
        <x:v>MAXI Щит горные травы</x:v>
      </x:c>
      <x:c r="D263" s="9" t="str">
        <x:v>Средство для растений/почвы</x:v>
      </x:c>
      <x:c r="E263" s="9" t="str">
        <x:v>Розничный каталог</x:v>
      </x:c>
      <x:c r="F263" s="9" t="str">
        <x:v>G17</x:v>
      </x:c>
      <x:c r="G263" s="9" t="str">
        <x:v>Растительное средство по названию; действующие компоненты и концентрации не раскрыты</x:v>
      </x:c>
      <x:c r="H263" s="9" t="str">
        <x:v>Частичные сведения/этикетки</x:v>
      </x:c>
      <x:c r="I263" s="9" t="str">
        <x:v>См. карточку</x:v>
      </x:c>
      <x:c r="J263" s="10" t="n">
        <x:v>2</x:v>
      </x:c>
      <x:c r="K263" s="9" t="str">
        <x:v>См. коды и ограничения на листе «Сопоставления»</x:v>
      </x:c>
      <x:c r="L263" s="9"/>
      <x:c r="M263" s="11" t="str">
        <x:v>https://5-sezonov.ru/</x:v>
      </x:c>
      <x:c r="N263" s="11" t="str">
        <x:v>https://5-sezonov.ru/</x:v>
      </x:c>
    </x:row>
    <x:row r="264" ht="68" customHeight="1">
      <x:c r="A264" s="6" t="str">
        <x:v>P0259</x:v>
      </x:c>
      <x:c r="B264" s="6" t="str">
        <x:v>Органик Микс</x:v>
      </x:c>
      <x:c r="C264" s="6" t="str">
        <x:v>MixCaps СУПЕР-РОСТ - стимулятор роста в капсулах 60 шт</x:v>
      </x:c>
      <x:c r="D264" s="6" t="str">
        <x:v>Средство для растений/почвы</x:v>
      </x:c>
      <x:c r="E264" s="6" t="str">
        <x:v>Розничный каталог</x:v>
      </x:c>
      <x:c r="F264" s="6" t="str">
        <x:v>G01</x:v>
      </x:c>
      <x:c r="G264" s="6" t="str">
        <x:v>Инновационный биокомплекс растительных компонентов, полученный методом глубокой ферментативной переработки, гидролиза и молекулярной активации.</x:v>
      </x:c>
      <x:c r="H264" s="6" t="str">
        <x:v>Есть сведения; см. ограничения</x:v>
      </x:c>
      <x:c r="I264" s="6" t="str">
        <x:v>См. карточку</x:v>
      </x:c>
      <x:c r="J264" s="12" t="n">
        <x:v>1</x:v>
      </x:c>
      <x:c r="K264" s="6" t="str">
        <x:v>См. коды и ограничения на листе «Сопоставления»</x:v>
      </x:c>
      <x:c r="L264" s="6"/>
      <x:c r="M264" s="13" t="str">
        <x:v>https://organic-mix.ru/catalog/mixcap-super-rost-stimulyator-rosta-v-kapsulakh-60-sht/</x:v>
      </x:c>
      <x:c r="N264" s="13"/>
    </x:row>
    <x:row r="265" ht="68" customHeight="1">
      <x:c r="A265" s="9" t="str">
        <x:v>P0260</x:v>
      </x:c>
      <x:c r="B265" s="9" t="str">
        <x:v>Органик Микс</x:v>
      </x:c>
      <x:c r="C265" s="9" t="str">
        <x:v>АКВАСЕЙФ</x:v>
      </x:c>
      <x:c r="D265" s="9" t="str">
        <x:v>Средство для растений/почвы</x:v>
      </x:c>
      <x:c r="E265" s="9" t="str">
        <x:v>Розничный каталог</x:v>
      </x:c>
      <x:c r="F265" s="9" t="str">
        <x:v>G36</x:v>
      </x:c>
      <x:c r="G265" s="9" t="str">
        <x:v>100% натуральные компоненты природного происхождения.</x:v>
      </x:c>
      <x:c r="H265" s="9" t="str">
        <x:v>Есть сведения; см. ограничения</x:v>
      </x:c>
      <x:c r="I265" s="9" t="str">
        <x:v>См. карточку</x:v>
      </x:c>
      <x:c r="J265" s="10" t="n">
        <x:v>3</x:v>
      </x:c>
      <x:c r="K265" s="9" t="str">
        <x:v>См. коды и ограничения на листе «Сопоставления»</x:v>
      </x:c>
      <x:c r="L265" s="9"/>
      <x:c r="M265" s="11" t="str">
        <x:v>https://organic-mix.ru/catalog/akvaseyf-1-1-kg/</x:v>
      </x:c>
      <x:c r="N265" s="11"/>
    </x:row>
    <x:row r="266" ht="68" customHeight="1">
      <x:c r="A266" s="6" t="str">
        <x:v>P0261</x:v>
      </x:c>
      <x:c r="B266" s="6" t="str">
        <x:v>Органик Микс</x:v>
      </x:c>
      <x:c r="C266" s="6" t="str">
        <x:v>Аминорост для рассады</x:v>
      </x:c>
      <x:c r="D266" s="6" t="str">
        <x:v>Средство для растений/почвы</x:v>
      </x:c>
      <x:c r="E266" s="6" t="str">
        <x:v>Розничный каталог</x:v>
      </x:c>
      <x:c r="F266" s="6" t="str">
        <x:v>G01; G41</x:v>
      </x:c>
      <x:c r="G266" s="6" t="str">
        <x:v>Аминокислоты растительного происхождения, растительные экстракты глубокой переработки, экстракт бурых морских водорослей (Ascophyllum nodosum)</x:v>
      </x:c>
      <x:c r="H266" s="6" t="str">
        <x:v>Есть сведения; см. ограничения</x:v>
      </x:c>
      <x:c r="I266" s="6" t="str">
        <x:v>См. карточку</x:v>
      </x:c>
      <x:c r="J266" s="12" t="n">
        <x:v>3</x:v>
      </x:c>
      <x:c r="K266" s="6" t="str">
        <x:v>См. коды и ограничения на листе «Сопоставления»</x:v>
      </x:c>
      <x:c r="L266" s="6"/>
      <x:c r="M266" s="13" t="str">
        <x:v>https://organic-mix.ru/catalog/aminorost-banochka-dlya-rassady-120-gr-organik-miks/</x:v>
      </x:c>
      <x:c r="N266" s="13"/>
    </x:row>
    <x:row r="267" ht="68" customHeight="1">
      <x:c r="A267" s="9" t="str">
        <x:v>P0262</x:v>
      </x:c>
      <x:c r="B267" s="9" t="str">
        <x:v>Органик Микс</x:v>
      </x:c>
      <x:c r="C267" s="9" t="str">
        <x:v>АнтиВершинка</x:v>
      </x:c>
      <x:c r="D267" s="9" t="str">
        <x:v>Средство для растений/почвы</x:v>
      </x:c>
      <x:c r="E267" s="9" t="str">
        <x:v>Розничный каталог</x:v>
      </x:c>
      <x:c r="F267" s="9" t="str">
        <x:v>G18</x:v>
      </x:c>
      <x:c r="G267" s="9" t="str">
        <x:v>На основе натуральных растительных экстрактов</x:v>
      </x:c>
      <x:c r="H267" s="9" t="str">
        <x:v>Есть сведения; см. ограничения</x:v>
      </x:c>
      <x:c r="I267" s="9" t="str">
        <x:v>См. карточку</x:v>
      </x:c>
      <x:c r="J267" s="10" t="n">
        <x:v>3</x:v>
      </x:c>
      <x:c r="K267" s="9" t="str">
        <x:v>См. коды и ограничения на листе «Сопоставления»</x:v>
      </x:c>
      <x:c r="L267" s="9"/>
      <x:c r="M267" s="11" t="str">
        <x:v>https://organic-mix.ru/catalog/antivershinka/</x:v>
      </x:c>
      <x:c r="N267" s="11"/>
    </x:row>
    <x:row r="268" ht="68" customHeight="1">
      <x:c r="A268" s="6" t="str">
        <x:v>P0263</x:v>
      </x:c>
      <x:c r="B268" s="6" t="str">
        <x:v>Органик Микс</x:v>
      </x:c>
      <x:c r="C268" s="6" t="str">
        <x:v>АНТИТРИПСИН - от трипса</x:v>
      </x:c>
      <x:c r="D268" s="6" t="str">
        <x:v>Средство для растений/почвы</x:v>
      </x:c>
      <x:c r="E268" s="6" t="str">
        <x:v>Розничный каталог</x:v>
      </x:c>
      <x:c r="F268" s="6" t="str">
        <x:v>G17</x:v>
      </x:c>
      <x:c r="G268" s="6" t="str">
        <x:v>Экстракт далматской ромашки, натуральные растительные масла, природный эмульгатор</x:v>
      </x:c>
      <x:c r="H268" s="6" t="str">
        <x:v>Есть сведения; см. ограничения</x:v>
      </x:c>
      <x:c r="I268" s="6" t="str">
        <x:v>См. карточку</x:v>
      </x:c>
      <x:c r="J268" s="12" t="n">
        <x:v>2</x:v>
      </x:c>
      <x:c r="K268" s="6" t="str">
        <x:v>См. коды и ограничения на листе «Сопоставления»</x:v>
      </x:c>
      <x:c r="L268" s="6"/>
      <x:c r="M268" s="13" t="str">
        <x:v>https://organic-mix.ru/catalog/antitripsin-ot-tripsa-100-ml/</x:v>
      </x:c>
      <x:c r="N268" s="13"/>
    </x:row>
    <x:row r="269" ht="68" customHeight="1">
      <x:c r="A269" s="9" t="str">
        <x:v>P0264</x:v>
      </x:c>
      <x:c r="B269" s="9" t="str">
        <x:v>Органик Микс</x:v>
      </x:c>
      <x:c r="C269" s="9" t="str">
        <x:v>АнтиХлорозин</x:v>
      </x:c>
      <x:c r="D269" s="9" t="str">
        <x:v>Средство для растений/почвы</x:v>
      </x:c>
      <x:c r="E269" s="9" t="str">
        <x:v>Розничный каталог</x:v>
      </x:c>
      <x:c r="F269" s="9" t="str">
        <x:v>G19</x:v>
      </x:c>
      <x:c r="G269" s="9" t="str">
        <x:v>На основе натуральных растительных экстрактов</x:v>
      </x:c>
      <x:c r="H269" s="9" t="str">
        <x:v>Есть сведения; см. ограничения</x:v>
      </x:c>
      <x:c r="I269" s="9" t="str">
        <x:v>См. карточку</x:v>
      </x:c>
      <x:c r="J269" s="10" t="n">
        <x:v>3</x:v>
      </x:c>
      <x:c r="K269" s="9" t="str">
        <x:v>См. коды и ограничения на листе «Сопоставления»</x:v>
      </x:c>
      <x:c r="L269" s="9"/>
      <x:c r="M269" s="11" t="str">
        <x:v>https://organic-mix.ru/catalog/antikhlorozin/</x:v>
      </x:c>
      <x:c r="N269" s="11"/>
    </x:row>
    <x:row r="270" ht="68" customHeight="1">
      <x:c r="A270" s="6" t="str">
        <x:v>P0265</x:v>
      </x:c>
      <x:c r="B270" s="6" t="str">
        <x:v>Органик Микс</x:v>
      </x:c>
      <x:c r="C270" s="6" t="str">
        <x:v>АРОМАЩИТ для клубники</x:v>
      </x:c>
      <x:c r="D270" s="6" t="str">
        <x:v>Средство для растений/почвы</x:v>
      </x:c>
      <x:c r="E270" s="6" t="str">
        <x:v>Розничный каталог</x:v>
      </x:c>
      <x:c r="F270" s="6" t="str">
        <x:v>G17</x:v>
      </x:c>
      <x:c r="G270" s="6" t="str">
        <x:v>Натуральные растительные эфирные масла, природный эмульгатор, подготовленная вода.</x:v>
      </x:c>
      <x:c r="H270" s="6" t="str">
        <x:v>Есть сведения; см. ограничения</x:v>
      </x:c>
      <x:c r="I270" s="6" t="str">
        <x:v>См. карточку</x:v>
      </x:c>
      <x:c r="J270" s="12" t="n">
        <x:v>2</x:v>
      </x:c>
      <x:c r="K270" s="6" t="str">
        <x:v>См. коды и ограничения на листе «Сопоставления»</x:v>
      </x:c>
      <x:c r="L270" s="6"/>
      <x:c r="M270" s="13" t="str">
        <x:v>https://organic-mix.ru/catalog/aromashchit-dlya-klubniki-240-ml/</x:v>
      </x:c>
      <x:c r="N270" s="13"/>
    </x:row>
    <x:row r="271" ht="68" customHeight="1">
      <x:c r="A271" s="9" t="str">
        <x:v>P0266</x:v>
      </x:c>
      <x:c r="B271" s="9" t="str">
        <x:v>Органик Микс</x:v>
      </x:c>
      <x:c r="C271" s="9" t="str">
        <x:v>АРОМАЩИТ для комнатных растений - препарат для профилактики, отпугивания,уничтожения вредителей</x:v>
      </x:c>
      <x:c r="D271" s="9" t="str">
        <x:v>Средство для растений/почвы</x:v>
      </x:c>
      <x:c r="E271" s="9" t="str">
        <x:v>Розничный каталог</x:v>
      </x:c>
      <x:c r="F271" s="9" t="str">
        <x:v>G17</x:v>
      </x:c>
      <x:c r="G271" s="9" t="str">
        <x:v>Натуральные растительные эфирные масла, природный эмульгатор, подготовленная вода.</x:v>
      </x:c>
      <x:c r="H271" s="9" t="str">
        <x:v>Есть сведения; см. ограничения</x:v>
      </x:c>
      <x:c r="I271" s="9" t="str">
        <x:v>См. карточку</x:v>
      </x:c>
      <x:c r="J271" s="10" t="n">
        <x:v>1</x:v>
      </x:c>
      <x:c r="K271" s="9" t="str">
        <x:v>См. коды и ограничения на листе «Сопоставления»</x:v>
      </x:c>
      <x:c r="L271" s="9"/>
      <x:c r="M271" s="11" t="str">
        <x:v>https://organic-mix.ru/catalog/aromashchit-dlya-komnatnykh-rasteniy-30ml/</x:v>
      </x:c>
      <x:c r="N271" s="11"/>
    </x:row>
    <x:row r="272" ht="68" customHeight="1">
      <x:c r="A272" s="6" t="str">
        <x:v>P0267</x:v>
      </x:c>
      <x:c r="B272" s="6" t="str">
        <x:v>Органик Микс</x:v>
      </x:c>
      <x:c r="C272" s="6" t="str">
        <x:v>АРОМАЩИТ для огурцов и овощных культур</x:v>
      </x:c>
      <x:c r="D272" s="6" t="str">
        <x:v>Средство для растений/почвы</x:v>
      </x:c>
      <x:c r="E272" s="6" t="str">
        <x:v>Розничный каталог</x:v>
      </x:c>
      <x:c r="F272" s="6" t="str">
        <x:v>G17</x:v>
      </x:c>
      <x:c r="G272" s="6" t="str">
        <x:v>Натуральные растительные эфирные масла, природный эмульгатор, подготовленная вода.</x:v>
      </x:c>
      <x:c r="H272" s="6" t="str">
        <x:v>Есть сведения; см. ограничения</x:v>
      </x:c>
      <x:c r="I272" s="6" t="str">
        <x:v>См. карточку</x:v>
      </x:c>
      <x:c r="J272" s="12" t="n">
        <x:v>2</x:v>
      </x:c>
      <x:c r="K272" s="6" t="str">
        <x:v>См. коды и ограничения на листе «Сопоставления»</x:v>
      </x:c>
      <x:c r="L272" s="6"/>
      <x:c r="M272" s="13" t="str">
        <x:v>https://organic-mix.ru/catalog/aromashchit-dlya-ogurtsov-i-ovoshchnykh-kultur-240-ml/</x:v>
      </x:c>
      <x:c r="N272" s="13"/>
    </x:row>
    <x:row r="273" ht="68" customHeight="1">
      <x:c r="A273" s="9" t="str">
        <x:v>P0268</x:v>
      </x:c>
      <x:c r="B273" s="9" t="str">
        <x:v>Органик Микс</x:v>
      </x:c>
      <x:c r="C273" s="9" t="str">
        <x:v>АРОМАЩИТ для плодовых деревьев</x:v>
      </x:c>
      <x:c r="D273" s="9" t="str">
        <x:v>Средство для растений/почвы</x:v>
      </x:c>
      <x:c r="E273" s="9" t="str">
        <x:v>Розничный каталог</x:v>
      </x:c>
      <x:c r="F273" s="9" t="str">
        <x:v>G17</x:v>
      </x:c>
      <x:c r="G273" s="9" t="str">
        <x:v>Натуральные растительные эфирные масла, природный эмульгатор, подготовленная вода.</x:v>
      </x:c>
      <x:c r="H273" s="9" t="str">
        <x:v>Есть сведения; см. ограничения</x:v>
      </x:c>
      <x:c r="I273" s="9" t="str">
        <x:v>См. карточку</x:v>
      </x:c>
      <x:c r="J273" s="10" t="n">
        <x:v>2</x:v>
      </x:c>
      <x:c r="K273" s="9" t="str">
        <x:v>См. коды и ограничения на листе «Сопоставления»</x:v>
      </x:c>
      <x:c r="L273" s="9"/>
      <x:c r="M273" s="11" t="str">
        <x:v>https://organic-mix.ru/catalog/aromashchit-dlya-plodovykh-derevev-240-ml/</x:v>
      </x:c>
      <x:c r="N273" s="11"/>
    </x:row>
    <x:row r="274" ht="68" customHeight="1">
      <x:c r="A274" s="6" t="str">
        <x:v>P0269</x:v>
      </x:c>
      <x:c r="B274" s="6" t="str">
        <x:v>Органик Микс</x:v>
      </x:c>
      <x:c r="C274" s="6" t="str">
        <x:v>АРОМАЩИТ для рассады - для профилактики, отпугивания и уничтожения вредителей</x:v>
      </x:c>
      <x:c r="D274" s="6" t="str">
        <x:v>Средство для растений/почвы</x:v>
      </x:c>
      <x:c r="E274" s="6" t="str">
        <x:v>Розничный каталог</x:v>
      </x:c>
      <x:c r="F274" s="6" t="str">
        <x:v>G17</x:v>
      </x:c>
      <x:c r="G274" s="6" t="str">
        <x:v>Натуральные растительные эфирные масла, природный эмульгатор, подготовленная вода.</x:v>
      </x:c>
      <x:c r="H274" s="6" t="str">
        <x:v>Есть сведения; см. ограничения</x:v>
      </x:c>
      <x:c r="I274" s="6" t="str">
        <x:v>См. карточку</x:v>
      </x:c>
      <x:c r="J274" s="12" t="n">
        <x:v>1</x:v>
      </x:c>
      <x:c r="K274" s="6" t="str">
        <x:v>См. коды и ограничения на листе «Сопоставления»</x:v>
      </x:c>
      <x:c r="L274" s="6"/>
      <x:c r="M274" s="13" t="str">
        <x:v>https://organic-mix.ru/catalog/aromashchit-dlya-rassady-30-ml/</x:v>
      </x:c>
      <x:c r="N274" s="13"/>
    </x:row>
    <x:row r="275" ht="68" customHeight="1">
      <x:c r="A275" s="9" t="str">
        <x:v>P0270</x:v>
      </x:c>
      <x:c r="B275" s="9" t="str">
        <x:v>Органик Микс</x:v>
      </x:c>
      <x:c r="C275" s="9" t="str">
        <x:v>АРОМАЩИТ для роз и цветов</x:v>
      </x:c>
      <x:c r="D275" s="9" t="str">
        <x:v>Средство для растений/почвы</x:v>
      </x:c>
      <x:c r="E275" s="9" t="str">
        <x:v>Розничный каталог</x:v>
      </x:c>
      <x:c r="F275" s="9" t="str">
        <x:v>G17</x:v>
      </x:c>
      <x:c r="G275" s="9" t="str">
        <x:v>Натуральные растительные эфирные масла, природный эмульгатор, подготовленная вода.</x:v>
      </x:c>
      <x:c r="H275" s="9" t="str">
        <x:v>Есть сведения; см. ограничения</x:v>
      </x:c>
      <x:c r="I275" s="9" t="str">
        <x:v>См. карточку</x:v>
      </x:c>
      <x:c r="J275" s="10" t="n">
        <x:v>2</x:v>
      </x:c>
      <x:c r="K275" s="9" t="str">
        <x:v>См. коды и ограничения на листе «Сопоставления»</x:v>
      </x:c>
      <x:c r="L275" s="9"/>
      <x:c r="M275" s="11" t="str">
        <x:v>https://organic-mix.ru/catalog/aromashchit-dlya-roz-i-tsvetov-240-ml/</x:v>
      </x:c>
      <x:c r="N275" s="11"/>
    </x:row>
    <x:row r="276" ht="68" customHeight="1">
      <x:c r="A276" s="6" t="str">
        <x:v>P0271</x:v>
      </x:c>
      <x:c r="B276" s="6" t="str">
        <x:v>Органик Микс</x:v>
      </x:c>
      <x:c r="C276" s="6" t="str">
        <x:v>АРОМАЩИТ для смородины и ягодных кустарников</x:v>
      </x:c>
      <x:c r="D276" s="6" t="str">
        <x:v>Средство для растений/почвы</x:v>
      </x:c>
      <x:c r="E276" s="6" t="str">
        <x:v>Розничный каталог</x:v>
      </x:c>
      <x:c r="F276" s="6" t="str">
        <x:v>G17</x:v>
      </x:c>
      <x:c r="G276" s="6" t="str">
        <x:v>Натуральные растительные эфирные масла, природный эмульгатор, подготовленная вода.</x:v>
      </x:c>
      <x:c r="H276" s="6" t="str">
        <x:v>Есть сведения; см. ограничения</x:v>
      </x:c>
      <x:c r="I276" s="6" t="str">
        <x:v>См. карточку</x:v>
      </x:c>
      <x:c r="J276" s="12" t="n">
        <x:v>2</x:v>
      </x:c>
      <x:c r="K276" s="6" t="str">
        <x:v>См. коды и ограничения на листе «Сопоставления»</x:v>
      </x:c>
      <x:c r="L276" s="6"/>
      <x:c r="M276" s="13" t="str">
        <x:v>https://organic-mix.ru/catalog/aromashchit-dlya-smorodiny-i-yagodnykh-kustarnikov-240-ml/</x:v>
      </x:c>
      <x:c r="N276" s="13"/>
    </x:row>
    <x:row r="277" ht="68" customHeight="1">
      <x:c r="A277" s="9" t="str">
        <x:v>P0272</x:v>
      </x:c>
      <x:c r="B277" s="9" t="str">
        <x:v>Органик Микс</x:v>
      </x:c>
      <x:c r="C277" s="9" t="str">
        <x:v>АРОМАЩИТ для теплиц</x:v>
      </x:c>
      <x:c r="D277" s="9" t="str">
        <x:v>Средство для растений/почвы</x:v>
      </x:c>
      <x:c r="E277" s="9" t="str">
        <x:v>Розничный каталог</x:v>
      </x:c>
      <x:c r="F277" s="9" t="str">
        <x:v>G17</x:v>
      </x:c>
      <x:c r="G277" s="9" t="str">
        <x:v>Натуральные растительные эфирные масла, природный эмульгатор, подготовленная вода.</x:v>
      </x:c>
      <x:c r="H277" s="9" t="str">
        <x:v>Есть сведения; см. ограничения</x:v>
      </x:c>
      <x:c r="I277" s="9" t="str">
        <x:v>См. карточку</x:v>
      </x:c>
      <x:c r="J277" s="10" t="n">
        <x:v>2</x:v>
      </x:c>
      <x:c r="K277" s="9" t="str">
        <x:v>См. коды и ограничения на листе «Сопоставления»</x:v>
      </x:c>
      <x:c r="L277" s="9"/>
      <x:c r="M277" s="11" t="str">
        <x:v>https://organic-mix.ru/catalog/aromashchit-dlya-teplits-240-ml/</x:v>
      </x:c>
      <x:c r="N277" s="11"/>
    </x:row>
    <x:row r="278" ht="68" customHeight="1">
      <x:c r="A278" s="6" t="str">
        <x:v>P0273</x:v>
      </x:c>
      <x:c r="B278" s="6" t="str">
        <x:v>Органик Микс</x:v>
      </x:c>
      <x:c r="C278" s="6" t="str">
        <x:v>АРОМАЩИТ для хвойных</x:v>
      </x:c>
      <x:c r="D278" s="6" t="str">
        <x:v>Средство для растений/почвы</x:v>
      </x:c>
      <x:c r="E278" s="6" t="str">
        <x:v>Розничный каталог</x:v>
      </x:c>
      <x:c r="F278" s="6" t="str">
        <x:v>G17</x:v>
      </x:c>
      <x:c r="G278" s="6" t="str">
        <x:v>Натуральные растительные эфирные масла, природный эмульгатор, подготовленная вода.</x:v>
      </x:c>
      <x:c r="H278" s="6" t="str">
        <x:v>Есть сведения; см. ограничения</x:v>
      </x:c>
      <x:c r="I278" s="6" t="str">
        <x:v>См. карточку</x:v>
      </x:c>
      <x:c r="J278" s="12" t="n">
        <x:v>2</x:v>
      </x:c>
      <x:c r="K278" s="6" t="str">
        <x:v>См. коды и ограничения на листе «Сопоставления»</x:v>
      </x:c>
      <x:c r="L278" s="6"/>
      <x:c r="M278" s="13" t="str">
        <x:v>https://organic-mix.ru/catalog/aromashchit-dlya-khvoynykh-240-ml/</x:v>
      </x:c>
      <x:c r="N278" s="13"/>
    </x:row>
    <x:row r="279" ht="68" customHeight="1">
      <x:c r="A279" s="9" t="str">
        <x:v>P0274</x:v>
      </x:c>
      <x:c r="B279" s="9" t="str">
        <x:v>Органик Микс</x:v>
      </x:c>
      <x:c r="C279" s="9" t="str">
        <x:v>АРОМАЩИТ универсальный</x:v>
      </x:c>
      <x:c r="D279" s="9" t="str">
        <x:v>Средство для растений/почвы</x:v>
      </x:c>
      <x:c r="E279" s="9" t="str">
        <x:v>Розничный каталог</x:v>
      </x:c>
      <x:c r="F279" s="9" t="str">
        <x:v>G17</x:v>
      </x:c>
      <x:c r="G279" s="9" t="str">
        <x:v>Натуральные растительные эфирные масла, природный эмульгатор, подготовленная вода.</x:v>
      </x:c>
      <x:c r="H279" s="9" t="str">
        <x:v>Есть сведения; см. ограничения</x:v>
      </x:c>
      <x:c r="I279" s="9" t="str">
        <x:v>См. карточку</x:v>
      </x:c>
      <x:c r="J279" s="10" t="n">
        <x:v>2</x:v>
      </x:c>
      <x:c r="K279" s="9" t="str">
        <x:v>См. коды и ограничения на листе «Сопоставления»</x:v>
      </x:c>
      <x:c r="L279" s="9"/>
      <x:c r="M279" s="11" t="str">
        <x:v>https://organic-mix.ru/catalog/aromashchit-universalnyy-240-ml/</x:v>
      </x:c>
      <x:c r="N279" s="11"/>
    </x:row>
    <x:row r="280" ht="68" customHeight="1">
      <x:c r="A280" s="6" t="str">
        <x:v>P0275</x:v>
      </x:c>
      <x:c r="B280" s="6" t="str">
        <x:v>Органик Микс</x:v>
      </x:c>
      <x:c r="C280" s="6" t="str">
        <x:v>БЕЗПАУТИН - от паутинного клеща</x:v>
      </x:c>
      <x:c r="D280" s="6" t="str">
        <x:v>Средство для растений/почвы</x:v>
      </x:c>
      <x:c r="E280" s="6" t="str">
        <x:v>Розничный каталог</x:v>
      </x:c>
      <x:c r="F280" s="6" t="str">
        <x:v>G17</x:v>
      </x:c>
      <x:c r="G280" s="6" t="str">
        <x:v>Экстракт далматской ромашки, натуральные растительные масла, природный эмульгатор</x:v>
      </x:c>
      <x:c r="H280" s="6" t="str">
        <x:v>Есть сведения; см. ограничения</x:v>
      </x:c>
      <x:c r="I280" s="6" t="str">
        <x:v>См. карточку</x:v>
      </x:c>
      <x:c r="J280" s="12" t="n">
        <x:v>2</x:v>
      </x:c>
      <x:c r="K280" s="6" t="str">
        <x:v>См. коды и ограничения на листе «Сопоставления»</x:v>
      </x:c>
      <x:c r="L280" s="6"/>
      <x:c r="M280" s="13" t="str">
        <x:v>https://organic-mix.ru/catalog/bezpautin-ot-pautinnogo-kleshcha-100-ml/</x:v>
      </x:c>
      <x:c r="N280" s="13"/>
    </x:row>
    <x:row r="281" ht="68" customHeight="1">
      <x:c r="A281" s="9" t="str">
        <x:v>P0276</x:v>
      </x:c>
      <x:c r="B281" s="9" t="str">
        <x:v>Органик Микс</x:v>
      </x:c>
      <x:c r="C281" s="9" t="str">
        <x:v>БЕЙ МУРАВЕЙ - от Органик Микс</x:v>
      </x:c>
      <x:c r="D281" s="9" t="str">
        <x:v>Средство для растений/почвы</x:v>
      </x:c>
      <x:c r="E281" s="9" t="str">
        <x:v>Розничный каталог</x:v>
      </x:c>
      <x:c r="F281" s="9" t="str">
        <x:v>G32</x:v>
      </x:c>
      <x:c r="G281" s="9" t="str">
        <x:v>Продукты ферментации бактерий Saccharopolyspora spinosa, пищевые компоненты растительного происхождения</x:v>
      </x:c>
      <x:c r="H281" s="9" t="str">
        <x:v>Есть сведения; см. ограничения</x:v>
      </x:c>
      <x:c r="I281" s="9" t="str">
        <x:v>См. карточку</x:v>
      </x:c>
      <x:c r="J281" s="10" t="n">
        <x:v>3</x:v>
      </x:c>
      <x:c r="K281" s="9" t="str">
        <x:v>См. коды и ограничения на листе «Сопоставления»</x:v>
      </x:c>
      <x:c r="L281" s="9"/>
      <x:c r="M281" s="11" t="str">
        <x:v>https://organic-mix.ru/catalog/bey-muravey-ot-organik-miks-60-gr-/</x:v>
      </x:c>
      <x:c r="N281" s="11"/>
    </x:row>
    <x:row r="282" ht="68" customHeight="1">
      <x:c r="A282" s="6" t="str">
        <x:v>P0277</x:v>
      </x:c>
      <x:c r="B282" s="6" t="str">
        <x:v>Органик Микс</x:v>
      </x:c>
      <x:c r="C282" s="6" t="str">
        <x:v>БИО БЛАСТЕР для комнатных - от насекомых-вредителей</x:v>
      </x:c>
      <x:c r="D282" s="6" t="str">
        <x:v>Средство для растений/почвы</x:v>
      </x:c>
      <x:c r="E282" s="6" t="str">
        <x:v>Розничный каталог</x:v>
      </x:c>
      <x:c r="F282" s="6" t="str">
        <x:v>G17</x:v>
      </x:c>
      <x:c r="G282" s="6" t="str">
        <x:v>Экстракт далматской ромашки, натуральные растительные масла, природный эмульгатор</x:v>
      </x:c>
      <x:c r="H282" s="6" t="str">
        <x:v>Есть сведения; см. ограничения</x:v>
      </x:c>
      <x:c r="I282" s="6" t="str">
        <x:v>См. карточку</x:v>
      </x:c>
      <x:c r="J282" s="12" t="n">
        <x:v>1</x:v>
      </x:c>
      <x:c r="K282" s="6" t="str">
        <x:v>См. коды и ограничения на листе «Сопоставления»</x:v>
      </x:c>
      <x:c r="L282" s="6"/>
      <x:c r="M282" s="13" t="str">
        <x:v>https://organic-mix.ru/catalog/bio-blaster-dlya-komnatnykh-ot-nasekomykh-vrediteley-10-ml/</x:v>
      </x:c>
      <x:c r="N282" s="13"/>
    </x:row>
    <x:row r="283" ht="68" customHeight="1">
      <x:c r="A283" s="9" t="str">
        <x:v>P0278</x:v>
      </x:c>
      <x:c r="B283" s="9" t="str">
        <x:v>Органик Микс</x:v>
      </x:c>
      <x:c r="C283" s="9" t="str">
        <x:v>БИО БЛАСТЕР для овощей - от насекомых-вредителей</x:v>
      </x:c>
      <x:c r="D283" s="9" t="str">
        <x:v>Средство для растений/почвы</x:v>
      </x:c>
      <x:c r="E283" s="9" t="str">
        <x:v>Розничный каталог</x:v>
      </x:c>
      <x:c r="F283" s="9" t="str">
        <x:v>G17</x:v>
      </x:c>
      <x:c r="G283" s="9" t="str">
        <x:v>Экстракт далматской ромашки, натуральные растительные масла, природный эмульгатор</x:v>
      </x:c>
      <x:c r="H283" s="9" t="str">
        <x:v>Есть сведения; см. ограничения</x:v>
      </x:c>
      <x:c r="I283" s="9" t="str">
        <x:v>См. карточку</x:v>
      </x:c>
      <x:c r="J283" s="10" t="n">
        <x:v>2</x:v>
      </x:c>
      <x:c r="K283" s="9" t="str">
        <x:v>См. коды и ограничения на листе «Сопоставления»</x:v>
      </x:c>
      <x:c r="L283" s="9"/>
      <x:c r="M283" s="11" t="str">
        <x:v>https://organic-mix.ru/catalog/bioblaster-dlya-ovoshchey-ot-nasekomykh-vrediteley-100-ml/</x:v>
      </x:c>
      <x:c r="N283" s="11"/>
    </x:row>
    <x:row r="284" ht="68" customHeight="1">
      <x:c r="A284" s="6" t="str">
        <x:v>P0279</x:v>
      </x:c>
      <x:c r="B284" s="6" t="str">
        <x:v>Органик Микс</x:v>
      </x:c>
      <x:c r="C284" s="6" t="str">
        <x:v>БИО БЛАСТЕР для орхидей - от насекомых-вредителей</x:v>
      </x:c>
      <x:c r="D284" s="6" t="str">
        <x:v>Средство для растений/почвы</x:v>
      </x:c>
      <x:c r="E284" s="6" t="str">
        <x:v>Розничный каталог</x:v>
      </x:c>
      <x:c r="F284" s="6" t="str">
        <x:v>G17</x:v>
      </x:c>
      <x:c r="G284" s="6" t="str">
        <x:v>Экстракт далматской ромашки, натуральные растительные масла, природный эмульгатор</x:v>
      </x:c>
      <x:c r="H284" s="6" t="str">
        <x:v>Есть сведения; см. ограничения</x:v>
      </x:c>
      <x:c r="I284" s="6" t="str">
        <x:v>См. карточку</x:v>
      </x:c>
      <x:c r="J284" s="12" t="n">
        <x:v>1</x:v>
      </x:c>
      <x:c r="K284" s="6" t="str">
        <x:v>См. коды и ограничения на листе «Сопоставления»</x:v>
      </x:c>
      <x:c r="L284" s="6"/>
      <x:c r="M284" s="13" t="str">
        <x:v>https://organic-mix.ru/catalog/bio-blaster-dlya-orkhidey-ot-nasekomykh-vrediteley-10-ml/</x:v>
      </x:c>
      <x:c r="N284" s="13"/>
    </x:row>
    <x:row r="285" ht="68" customHeight="1">
      <x:c r="A285" s="9" t="str">
        <x:v>P0280</x:v>
      </x:c>
      <x:c r="B285" s="9" t="str">
        <x:v>Органик Микс</x:v>
      </x:c>
      <x:c r="C285" s="9" t="str">
        <x:v>БИО БЛАСТЕР для рассады - от насекомых-вредителей</x:v>
      </x:c>
      <x:c r="D285" s="9" t="str">
        <x:v>Средство для растений/почвы</x:v>
      </x:c>
      <x:c r="E285" s="9" t="str">
        <x:v>Розничный каталог</x:v>
      </x:c>
      <x:c r="F285" s="9" t="str">
        <x:v>G17</x:v>
      </x:c>
      <x:c r="G285" s="9" t="str">
        <x:v>Экстракт далматской ромашки, натуральные растительные масла, природный эмульгатор</x:v>
      </x:c>
      <x:c r="H285" s="9" t="str">
        <x:v>Есть сведения; см. ограничения</x:v>
      </x:c>
      <x:c r="I285" s="9" t="str">
        <x:v>См. карточку</x:v>
      </x:c>
      <x:c r="J285" s="10" t="n">
        <x:v>1</x:v>
      </x:c>
      <x:c r="K285" s="9" t="str">
        <x:v>См. коды и ограничения на листе «Сопоставления»</x:v>
      </x:c>
      <x:c r="L285" s="9"/>
      <x:c r="M285" s="11" t="str">
        <x:v>https://organic-mix.ru/catalog/bio-blaster-dlya-rassady-ot-nasekomykh-vrediteley-10-ml/</x:v>
      </x:c>
      <x:c r="N285" s="11"/>
    </x:row>
    <x:row r="286" ht="68" customHeight="1">
      <x:c r="A286" s="6" t="str">
        <x:v>P0281</x:v>
      </x:c>
      <x:c r="B286" s="6" t="str">
        <x:v>Органик Микс</x:v>
      </x:c>
      <x:c r="C286" s="6" t="str">
        <x:v>БИО БЛАСТЕР для роз - от насекомых-вредителей</x:v>
      </x:c>
      <x:c r="D286" s="6" t="str">
        <x:v>Средство для растений/почвы</x:v>
      </x:c>
      <x:c r="E286" s="6" t="str">
        <x:v>Розничный каталог</x:v>
      </x:c>
      <x:c r="F286" s="6" t="str">
        <x:v>G17</x:v>
      </x:c>
      <x:c r="G286" s="6" t="str">
        <x:v>Экстракт далматской ромашки, натуральные растительные масла, природный эмульгатор</x:v>
      </x:c>
      <x:c r="H286" s="6" t="str">
        <x:v>Есть сведения; см. ограничения</x:v>
      </x:c>
      <x:c r="I286" s="6" t="str">
        <x:v>См. карточку</x:v>
      </x:c>
      <x:c r="J286" s="12" t="n">
        <x:v>1</x:v>
      </x:c>
      <x:c r="K286" s="6" t="str">
        <x:v>См. коды и ограничения на листе «Сопоставления»</x:v>
      </x:c>
      <x:c r="L286" s="6"/>
      <x:c r="M286" s="13" t="str">
        <x:v>https://organic-mix.ru/catalog/bio-blaster-dlya-roz-ot-nasekomykh-vrediteley-10-ml/</x:v>
      </x:c>
      <x:c r="N286" s="13"/>
    </x:row>
    <x:row r="287" ht="68" customHeight="1">
      <x:c r="A287" s="9" t="str">
        <x:v>P0282</x:v>
      </x:c>
      <x:c r="B287" s="9" t="str">
        <x:v>Органик Микс</x:v>
      </x:c>
      <x:c r="C287" s="9" t="str">
        <x:v>БИО БЛАСТЕР для теплиц - от насекомых-вредителей</x:v>
      </x:c>
      <x:c r="D287" s="9" t="str">
        <x:v>Средство для растений/почвы</x:v>
      </x:c>
      <x:c r="E287" s="9" t="str">
        <x:v>Розничный каталог</x:v>
      </x:c>
      <x:c r="F287" s="9" t="str">
        <x:v>G17</x:v>
      </x:c>
      <x:c r="G287" s="9" t="str">
        <x:v>Экстракт далматской ромашки, натуральные растительные масла, природный эмульгатор</x:v>
      </x:c>
      <x:c r="H287" s="9" t="str">
        <x:v>Есть сведения; см. ограничения</x:v>
      </x:c>
      <x:c r="I287" s="9" t="str">
        <x:v>См. карточку</x:v>
      </x:c>
      <x:c r="J287" s="10" t="n">
        <x:v>2</x:v>
      </x:c>
      <x:c r="K287" s="9" t="str">
        <x:v>См. коды и ограничения на листе «Сопоставления»</x:v>
      </x:c>
      <x:c r="L287" s="9"/>
      <x:c r="M287" s="11" t="str">
        <x:v>https://organic-mix.ru/catalog/bioblaster-dlya-teplits-ot-nasekomykh-vrediteley-100-ml-/</x:v>
      </x:c>
      <x:c r="N287" s="11"/>
    </x:row>
    <x:row r="288" ht="68" customHeight="1">
      <x:c r="A288" s="6" t="str">
        <x:v>P0283</x:v>
      </x:c>
      <x:c r="B288" s="6" t="str">
        <x:v>Органик Микс</x:v>
      </x:c>
      <x:c r="C288" s="6" t="str">
        <x:v>БИО БЛАСТЕР универсальный - от насекомых-вредителей</x:v>
      </x:c>
      <x:c r="D288" s="6" t="str">
        <x:v>Средство для растений/почвы</x:v>
      </x:c>
      <x:c r="E288" s="6" t="str">
        <x:v>Розничный каталог</x:v>
      </x:c>
      <x:c r="F288" s="6" t="str">
        <x:v>G17</x:v>
      </x:c>
      <x:c r="G288" s="6" t="str">
        <x:v>Количественный состав в прочитанном тексте не найден; см. карточку</x:v>
      </x:c>
      <x:c r="H288" s="6" t="str">
        <x:v>Полного состава нет в тексте</x:v>
      </x:c>
      <x:c r="I288" s="6" t="str">
        <x:v>См. карточку</x:v>
      </x:c>
      <x:c r="J288" s="12" t="n">
        <x:v>2</x:v>
      </x:c>
      <x:c r="K288" s="6" t="str">
        <x:v>См. коды и ограничения на листе «Сопоставления»</x:v>
      </x:c>
      <x:c r="L288" s="6"/>
      <x:c r="M288" s="13" t="str">
        <x:v>https://organic-mix.ru/catalog/bioblaster-universalnyy-ot-nasekomykh-vrediteley-100-ml-/</x:v>
      </x:c>
      <x:c r="N288" s="13"/>
    </x:row>
    <x:row r="289" ht="68" customHeight="1">
      <x:c r="A289" s="9" t="str">
        <x:v>P0284</x:v>
      </x:c>
      <x:c r="B289" s="9" t="str">
        <x:v>Органик Микс</x:v>
      </x:c>
      <x:c r="C289" s="9" t="str">
        <x:v>БИО ХАНТЕР для комнатных растений СПРЕЙ - от насекомых-вредителей</x:v>
      </x:c>
      <x:c r="D289" s="9" t="str">
        <x:v>Средство для растений/почвы</x:v>
      </x:c>
      <x:c r="E289" s="9" t="str">
        <x:v>Розничный каталог</x:v>
      </x:c>
      <x:c r="F289" s="9" t="str">
        <x:v>G06</x:v>
      </x:c>
      <x:c r="G289" s="9" t="str">
        <x:v>На основе солей высших жирных кислот, растительных и животных жиров</x:v>
      </x:c>
      <x:c r="H289" s="9" t="str">
        <x:v>Есть сведения; см. ограничения</x:v>
      </x:c>
      <x:c r="I289" s="9" t="str">
        <x:v>Готовый спрей</x:v>
      </x:c>
      <x:c r="J289" s="10" t="n">
        <x:v>1</x:v>
      </x:c>
      <x:c r="K289" s="9" t="str">
        <x:v>См. коды и ограничения на листе «Сопоставления»</x:v>
      </x:c>
      <x:c r="L289" s="9"/>
      <x:c r="M289" s="11" t="str">
        <x:v>https://organic-mix.ru/catalog/bio-khanter-dlya-komnatnykh-rasteniy-sprey-ot-nasekomykh-vrediteley-500-ml-/</x:v>
      </x:c>
      <x:c r="N289" s="11"/>
    </x:row>
    <x:row r="290" ht="68" customHeight="1">
      <x:c r="A290" s="6" t="str">
        <x:v>P0285</x:v>
      </x:c>
      <x:c r="B290" s="6" t="str">
        <x:v>Органик Микс</x:v>
      </x:c>
      <x:c r="C290" s="6" t="str">
        <x:v>БИО ХАНТЕР для плодовых деревьев - от насекомых-вредителей</x:v>
      </x:c>
      <x:c r="D290" s="6" t="str">
        <x:v>Средство для растений/почвы</x:v>
      </x:c>
      <x:c r="E290" s="6" t="str">
        <x:v>Розничный каталог</x:v>
      </x:c>
      <x:c r="F290" s="6" t="str">
        <x:v>G06</x:v>
      </x:c>
      <x:c r="G290" s="6" t="str">
        <x:v>На основе солей высших жирных кислот, растительных и животных жиров</x:v>
      </x:c>
      <x:c r="H290" s="6" t="str">
        <x:v>Есть сведения; см. ограничения</x:v>
      </x:c>
      <x:c r="I290" s="6" t="str">
        <x:v>См. карточку</x:v>
      </x:c>
      <x:c r="J290" s="12" t="n">
        <x:v>2</x:v>
      </x:c>
      <x:c r="K290" s="6" t="str">
        <x:v>См. коды и ограничения на листе «Сопоставления»</x:v>
      </x:c>
      <x:c r="L290" s="6"/>
      <x:c r="M290" s="13" t="str">
        <x:v>https://organic-mix.ru/catalog/biokhanter-dlya-plodovykh-derevev-ot-nasekomykh-vrediteley-500-ml/</x:v>
      </x:c>
      <x:c r="N290" s="13"/>
    </x:row>
    <x:row r="291" ht="68" customHeight="1">
      <x:c r="A291" s="9" t="str">
        <x:v>P0286</x:v>
      </x:c>
      <x:c r="B291" s="9" t="str">
        <x:v>Органик Микс</x:v>
      </x:c>
      <x:c r="C291" s="9" t="str">
        <x:v>БИО ХАНТЕР для теплиц - от насекомых-вредителей</x:v>
      </x:c>
      <x:c r="D291" s="9" t="str">
        <x:v>Средство для растений/почвы</x:v>
      </x:c>
      <x:c r="E291" s="9" t="str">
        <x:v>Розничный каталог</x:v>
      </x:c>
      <x:c r="F291" s="9" t="str">
        <x:v>G06</x:v>
      </x:c>
      <x:c r="G291" s="9" t="str">
        <x:v>На основе солей высших жирных кислот, растительных и животных жиров</x:v>
      </x:c>
      <x:c r="H291" s="9" t="str">
        <x:v>Есть сведения; см. ограничения</x:v>
      </x:c>
      <x:c r="I291" s="9" t="str">
        <x:v>См. карточку</x:v>
      </x:c>
      <x:c r="J291" s="10" t="n">
        <x:v>2</x:v>
      </x:c>
      <x:c r="K291" s="9" t="str">
        <x:v>См. коды и ограничения на листе «Сопоставления»</x:v>
      </x:c>
      <x:c r="L291" s="9"/>
      <x:c r="M291" s="11" t="str">
        <x:v>https://organic-mix.ru/catalog/biokhanter-dlya-teplits-ot-nasekomykh-vrediteley-500-ml/</x:v>
      </x:c>
      <x:c r="N291" s="11"/>
    </x:row>
    <x:row r="292" ht="68" customHeight="1">
      <x:c r="A292" s="6" t="str">
        <x:v>P0287</x:v>
      </x:c>
      <x:c r="B292" s="6" t="str">
        <x:v>Органик Микс</x:v>
      </x:c>
      <x:c r="C292" s="6" t="str">
        <x:v>БИО ХАНТЕР универсальный - от насекомых-вредителей</x:v>
      </x:c>
      <x:c r="D292" s="6" t="str">
        <x:v>Средство для растений/почвы</x:v>
      </x:c>
      <x:c r="E292" s="6" t="str">
        <x:v>Розничный каталог</x:v>
      </x:c>
      <x:c r="F292" s="6" t="str">
        <x:v>G06</x:v>
      </x:c>
      <x:c r="G292" s="6" t="str">
        <x:v>На основе солей высших жирных кислот, растительных и животных жиров</x:v>
      </x:c>
      <x:c r="H292" s="6" t="str">
        <x:v>Есть сведения; см. ограничения</x:v>
      </x:c>
      <x:c r="I292" s="6" t="str">
        <x:v>См. карточку</x:v>
      </x:c>
      <x:c r="J292" s="12" t="n">
        <x:v>2</x:v>
      </x:c>
      <x:c r="K292" s="6" t="str">
        <x:v>См. коды и ограничения на листе «Сопоставления»</x:v>
      </x:c>
      <x:c r="L292" s="6"/>
      <x:c r="M292" s="13" t="str">
        <x:v>https://organic-mix.ru/catalog/biokhanter-universalnyy-ot-nasekomykh-vrediteley-500-ml/</x:v>
      </x:c>
      <x:c r="N292" s="13"/>
    </x:row>
    <x:row r="293" ht="68" customHeight="1">
      <x:c r="A293" s="9" t="str">
        <x:v>P0288</x:v>
      </x:c>
      <x:c r="B293" s="9" t="str">
        <x:v>Органик Микс</x:v>
      </x:c>
      <x:c r="C293" s="9" t="str">
        <x:v>БИО ХАНТЕР универсальный СПРЕЙ - от насекомых-вредителей</x:v>
      </x:c>
      <x:c r="D293" s="9" t="str">
        <x:v>Средство для растений/почвы</x:v>
      </x:c>
      <x:c r="E293" s="9" t="str">
        <x:v>Розничный каталог</x:v>
      </x:c>
      <x:c r="F293" s="9" t="str">
        <x:v>G06</x:v>
      </x:c>
      <x:c r="G293" s="9" t="str">
        <x:v>На основе солей высших жирных кислот, растительных и животных жиров</x:v>
      </x:c>
      <x:c r="H293" s="9" t="str">
        <x:v>Есть сведения; см. ограничения</x:v>
      </x:c>
      <x:c r="I293" s="9" t="str">
        <x:v>Готовый спрей</x:v>
      </x:c>
      <x:c r="J293" s="10" t="n">
        <x:v>1</x:v>
      </x:c>
      <x:c r="K293" s="9" t="str">
        <x:v>См. коды и ограничения на листе «Сопоставления»</x:v>
      </x:c>
      <x:c r="L293" s="9"/>
      <x:c r="M293" s="11" t="str">
        <x:v>https://organic-mix.ru/catalog/bio-khanter-universalnyy-sprey-ot-nasekomykh-vrediteley-500-ml-/</x:v>
      </x:c>
      <x:c r="N293" s="11"/>
    </x:row>
    <x:row r="294" ht="68" customHeight="1">
      <x:c r="A294" s="6" t="str">
        <x:v>P0289</x:v>
      </x:c>
      <x:c r="B294" s="6" t="str">
        <x:v>Органик Микс</x:v>
      </x:c>
      <x:c r="C294" s="6" t="str">
        <x:v>Биогумус для домашних растений</x:v>
      </x:c>
      <x:c r="D294" s="6" t="str">
        <x:v>Средство для растений/почвы</x:v>
      </x:c>
      <x:c r="E294" s="6" t="str">
        <x:v>Розничный каталог</x:v>
      </x:c>
      <x:c r="F294" s="6" t="str">
        <x:v>G09</x:v>
      </x:c>
      <x:c r="G294" s="6" t="str">
        <x:v>Биогумус из отборного сырья, концентрат высокой степени очистки Фульвовые и гуминовые кислоты N - 1,5% P - 0,5% K - 0,5% Ca Mg Fe Mn</x:v>
      </x:c>
      <x:c r="H294" s="6" t="str">
        <x:v>Есть сведения; см. ограничения</x:v>
      </x:c>
      <x:c r="I294" s="6" t="str">
        <x:v>См. карточку</x:v>
      </x:c>
      <x:c r="J294" s="12" t="n">
        <x:v>2</x:v>
      </x:c>
      <x:c r="K294" s="6" t="str">
        <x:v>См. коды и ограничения на листе «Сопоставления»</x:v>
      </x:c>
      <x:c r="L294" s="6"/>
      <x:c r="M294" s="13" t="str">
        <x:v>https://organic-mix.ru/catalog/biogumus-dlya-domashnikh-rasteniy/</x:v>
      </x:c>
      <x:c r="N294" s="13"/>
    </x:row>
    <x:row r="295" ht="68" customHeight="1">
      <x:c r="A295" s="9" t="str">
        <x:v>P0290</x:v>
      </x:c>
      <x:c r="B295" s="9" t="str">
        <x:v>Органик Микс</x:v>
      </x:c>
      <x:c r="C295" s="9" t="str">
        <x:v>БИОЗАЩИТИН в ампуле - органическое средство защиты растений 3 в 1</x:v>
      </x:c>
      <x:c r="D295" s="9" t="str">
        <x:v>Средство для растений/почвы</x:v>
      </x:c>
      <x:c r="E295" s="9" t="str">
        <x:v>Розничный каталог</x:v>
      </x:c>
      <x:c r="F295" s="9" t="str">
        <x:v>G17; G30</x:v>
      </x:c>
      <x:c r="G295" s="9" t="str">
        <x:v>На основе эфирного масла апельсина.</x:v>
      </x:c>
      <x:c r="H295" s="9" t="str">
        <x:v>Есть сведения; см. ограничения</x:v>
      </x:c>
      <x:c r="I295" s="9" t="str">
        <x:v>См. карточку</x:v>
      </x:c>
      <x:c r="J295" s="10" t="n">
        <x:v>3</x:v>
      </x:c>
      <x:c r="K295" s="9" t="str">
        <x:v>См. коды и ограничения на листе «Сопоставления»</x:v>
      </x:c>
      <x:c r="L295" s="9"/>
      <x:c r="M295" s="11" t="str">
        <x:v>https://organic-mix.ru/catalog/biozashchitin-v-ampule-organicheskoe-sredstvo-zashchity-rasteniy-3-v-1-5-ml/</x:v>
      </x:c>
      <x:c r="N295" s="11"/>
    </x:row>
    <x:row r="296" ht="68" customHeight="1">
      <x:c r="A296" s="6" t="str">
        <x:v>P0291</x:v>
      </x:c>
      <x:c r="B296" s="6" t="str">
        <x:v>Органик Микс</x:v>
      </x:c>
      <x:c r="C296" s="6" t="str">
        <x:v>БИОКОЛОРАД – от колорадского жука</x:v>
      </x:c>
      <x:c r="D296" s="6" t="str">
        <x:v>Средство для растений/почвы</x:v>
      </x:c>
      <x:c r="E296" s="6" t="str">
        <x:v>Розничный каталог</x:v>
      </x:c>
      <x:c r="F296" s="6" t="str">
        <x:v>—</x:v>
      </x:c>
      <x:c r="G296" s="6" t="str">
        <x:v>100% натуральные растительные экстракты и масла</x:v>
      </x:c>
      <x:c r="H296" s="6" t="str">
        <x:v>Есть сведения; см. ограничения</x:v>
      </x:c>
      <x:c r="I296" s="6" t="str">
        <x:v>См. карточку</x:v>
      </x:c>
      <x:c r="J296" s="12" t="n">
        <x:v>2</x:v>
      </x:c>
      <x:c r="K296" s="6" t="str">
        <x:v>Близкий аналог не подтвержден</x:v>
      </x:c>
      <x:c r="L296" s="6"/>
      <x:c r="M296" s="13" t="str">
        <x:v>https://organic-mix.ru/catalog/biokolorad-ot-koloradskogo-zhuka-150-ml/</x:v>
      </x:c>
      <x:c r="N296" s="13"/>
    </x:row>
    <x:row r="297" ht="68" customHeight="1">
      <x:c r="A297" s="9" t="str">
        <x:v>P0292</x:v>
      </x:c>
      <x:c r="B297" s="9" t="str">
        <x:v>Органик Микс</x:v>
      </x:c>
      <x:c r="C297" s="9" t="str">
        <x:v>БИОРУЖЬЕ для клубники</x:v>
      </x:c>
      <x:c r="D297" s="9" t="str">
        <x:v>Средство для растений/почвы</x:v>
      </x:c>
      <x:c r="E297" s="9" t="str">
        <x:v>Розничный каталог</x:v>
      </x:c>
      <x:c r="F297" s="9" t="str">
        <x:v>—</x:v>
      </x:c>
      <x:c r="G297" s="9" t="str">
        <x:v>Продукты жизнедеятельности и метаболиты бактерий Streptomyces avermitilis.</x:v>
      </x:c>
      <x:c r="H297" s="9" t="str">
        <x:v>Есть сведения; см. ограничения</x:v>
      </x:c>
      <x:c r="I297" s="9" t="str">
        <x:v>См. карточку</x:v>
      </x:c>
      <x:c r="J297" s="10" t="n">
        <x:v>1</x:v>
      </x:c>
      <x:c r="K297" s="9" t="str">
        <x:v>Близкий аналог не подтвержден</x:v>
      </x:c>
      <x:c r="L297" s="9"/>
      <x:c r="M297" s="11" t="str">
        <x:v>https://organic-mix.ru/catalog/bioruzhe-dlya-klubniki-v-apmule-2-ml/</x:v>
      </x:c>
      <x:c r="N297" s="11"/>
    </x:row>
    <x:row r="298" ht="68" customHeight="1">
      <x:c r="A298" s="6" t="str">
        <x:v>P0293</x:v>
      </x:c>
      <x:c r="B298" s="6" t="str">
        <x:v>Органик Микс</x:v>
      </x:c>
      <x:c r="C298" s="6" t="str">
        <x:v>БИОРУЖЬЕ для комнатных растений</x:v>
      </x:c>
      <x:c r="D298" s="6" t="str">
        <x:v>Средство для растений/почвы</x:v>
      </x:c>
      <x:c r="E298" s="6" t="str">
        <x:v>Розничный каталог</x:v>
      </x:c>
      <x:c r="F298" s="6" t="str">
        <x:v>—</x:v>
      </x:c>
      <x:c r="G298" s="6" t="str">
        <x:v>Продукты жизнедеятельности и метаболиты бактерий Streptomyces avermitilis.</x:v>
      </x:c>
      <x:c r="H298" s="6" t="str">
        <x:v>Есть сведения; см. ограничения</x:v>
      </x:c>
      <x:c r="I298" s="6" t="str">
        <x:v>См. карточку</x:v>
      </x:c>
      <x:c r="J298" s="12" t="n">
        <x:v>1</x:v>
      </x:c>
      <x:c r="K298" s="6" t="str">
        <x:v>Близкий аналог не подтвержден</x:v>
      </x:c>
      <x:c r="L298" s="6"/>
      <x:c r="M298" s="13" t="str">
        <x:v>https://organic-mix.ru/catalog/bioruzhe-dlya-komnatnykh-rasteniy-v-apmule-2-ml/</x:v>
      </x:c>
      <x:c r="N298" s="13"/>
    </x:row>
    <x:row r="299" ht="68" customHeight="1">
      <x:c r="A299" s="9" t="str">
        <x:v>P0294</x:v>
      </x:c>
      <x:c r="B299" s="9" t="str">
        <x:v>Органик Микс</x:v>
      </x:c>
      <x:c r="C299" s="9" t="str">
        <x:v>БИОРУЖЬЕ для огурцов и овощных культур</x:v>
      </x:c>
      <x:c r="D299" s="9" t="str">
        <x:v>Средство для растений/почвы</x:v>
      </x:c>
      <x:c r="E299" s="9" t="str">
        <x:v>Розничный каталог</x:v>
      </x:c>
      <x:c r="F299" s="9" t="str">
        <x:v>—</x:v>
      </x:c>
      <x:c r="G299" s="9" t="str">
        <x:v>Продукты жизнедеятельности и метаболиты бактерий Streptomyces avermitilis.</x:v>
      </x:c>
      <x:c r="H299" s="9" t="str">
        <x:v>Есть сведения; см. ограничения</x:v>
      </x:c>
      <x:c r="I299" s="9" t="str">
        <x:v>См. карточку</x:v>
      </x:c>
      <x:c r="J299" s="10" t="n">
        <x:v>1</x:v>
      </x:c>
      <x:c r="K299" s="9" t="str">
        <x:v>Близкий аналог не подтвержден</x:v>
      </x:c>
      <x:c r="L299" s="9"/>
      <x:c r="M299" s="11" t="str">
        <x:v>https://organic-mix.ru/catalog/bioruzhe-dlya-ogurtsov-i-ovoshchnykh-kultur-v-apmule-2-ml/</x:v>
      </x:c>
      <x:c r="N299" s="11"/>
    </x:row>
    <x:row r="300" ht="68" customHeight="1">
      <x:c r="A300" s="6" t="str">
        <x:v>P0295</x:v>
      </x:c>
      <x:c r="B300" s="6" t="str">
        <x:v>Органик Микс</x:v>
      </x:c>
      <x:c r="C300" s="6" t="str">
        <x:v>БИОРУЖЬЕ для роз и цветов</x:v>
      </x:c>
      <x:c r="D300" s="6" t="str">
        <x:v>Средство для растений/почвы</x:v>
      </x:c>
      <x:c r="E300" s="6" t="str">
        <x:v>Розничный каталог</x:v>
      </x:c>
      <x:c r="F300" s="6" t="str">
        <x:v>—</x:v>
      </x:c>
      <x:c r="G300" s="6" t="str">
        <x:v>Продукты жизнедеятельности и метаболиты бактерий Streptomyces avermitilis.</x:v>
      </x:c>
      <x:c r="H300" s="6" t="str">
        <x:v>Есть сведения; см. ограничения</x:v>
      </x:c>
      <x:c r="I300" s="6" t="str">
        <x:v>См. карточку</x:v>
      </x:c>
      <x:c r="J300" s="12" t="n">
        <x:v>1</x:v>
      </x:c>
      <x:c r="K300" s="6" t="str">
        <x:v>Близкий аналог не подтвержден</x:v>
      </x:c>
      <x:c r="L300" s="6"/>
      <x:c r="M300" s="13" t="str">
        <x:v>https://organic-mix.ru/catalog/bioruzhe-dlya-roz-i-tsvetov-v-apmule-2-ml/</x:v>
      </x:c>
      <x:c r="N300" s="13"/>
    </x:row>
    <x:row r="301" ht="68" customHeight="1">
      <x:c r="A301" s="9" t="str">
        <x:v>P0296</x:v>
      </x:c>
      <x:c r="B301" s="9" t="str">
        <x:v>Органик Микс</x:v>
      </x:c>
      <x:c r="C301" s="9" t="str">
        <x:v>БИОРУЖЬЕ для смородины и ягодных кустарников</x:v>
      </x:c>
      <x:c r="D301" s="9" t="str">
        <x:v>Средство для растений/почвы</x:v>
      </x:c>
      <x:c r="E301" s="9" t="str">
        <x:v>Розничный каталог</x:v>
      </x:c>
      <x:c r="F301" s="9" t="str">
        <x:v>—</x:v>
      </x:c>
      <x:c r="G301" s="9" t="str">
        <x:v>Продукты жизнедеятельности и метаболиты бактерий Streptomyces avermitilis.</x:v>
      </x:c>
      <x:c r="H301" s="9" t="str">
        <x:v>Есть сведения; см. ограничения</x:v>
      </x:c>
      <x:c r="I301" s="9" t="str">
        <x:v>См. карточку</x:v>
      </x:c>
      <x:c r="J301" s="10" t="n">
        <x:v>1</x:v>
      </x:c>
      <x:c r="K301" s="9" t="str">
        <x:v>Близкий аналог не подтвержден</x:v>
      </x:c>
      <x:c r="L301" s="9"/>
      <x:c r="M301" s="11" t="str">
        <x:v>https://organic-mix.ru/catalog/bioruzhe-dlya-smorodiny-i-yagodnykh-kustarnikov-v-apmule-2-ml/</x:v>
      </x:c>
      <x:c r="N301" s="11"/>
    </x:row>
    <x:row r="302" ht="68" customHeight="1">
      <x:c r="A302" s="6" t="str">
        <x:v>P0297</x:v>
      </x:c>
      <x:c r="B302" s="6" t="str">
        <x:v>Органик Микс</x:v>
      </x:c>
      <x:c r="C302" s="6" t="str">
        <x:v>БИОРУЖЬЕ универсальное</x:v>
      </x:c>
      <x:c r="D302" s="6" t="str">
        <x:v>Средство для растений/почвы</x:v>
      </x:c>
      <x:c r="E302" s="6" t="str">
        <x:v>Розничный каталог</x:v>
      </x:c>
      <x:c r="F302" s="6" t="str">
        <x:v>—</x:v>
      </x:c>
      <x:c r="G302" s="6" t="str">
        <x:v>Продукты жизнедеятельности и метаболиты бактерий Streptomyces avermitilis.</x:v>
      </x:c>
      <x:c r="H302" s="6" t="str">
        <x:v>Есть сведения; см. ограничения</x:v>
      </x:c>
      <x:c r="I302" s="6" t="str">
        <x:v>См. карточку</x:v>
      </x:c>
      <x:c r="J302" s="12" t="n">
        <x:v>1</x:v>
      </x:c>
      <x:c r="K302" s="6" t="str">
        <x:v>Близкий аналог не подтвержден</x:v>
      </x:c>
      <x:c r="L302" s="6"/>
      <x:c r="M302" s="13" t="str">
        <x:v>https://organic-mix.ru/catalog/bioruzhe-universalnoe-v-ampule-2-ml/</x:v>
      </x:c>
      <x:c r="N302" s="13"/>
    </x:row>
    <x:row r="303" ht="68" customHeight="1">
      <x:c r="A303" s="9" t="str">
        <x:v>P0298</x:v>
      </x:c>
      <x:c r="B303" s="9" t="str">
        <x:v>Органик Микс</x:v>
      </x:c>
      <x:c r="C303" s="9" t="str">
        <x:v>БИОСАНИТАРИН - для садового инструмента</x:v>
      </x:c>
      <x:c r="D303" s="9" t="str">
        <x:v>Средство для растений/почвы</x:v>
      </x:c>
      <x:c r="E303" s="9" t="str">
        <x:v>Розничный каталог</x:v>
      </x:c>
      <x:c r="F303" s="9" t="str">
        <x:v>G34</x:v>
      </x:c>
      <x:c r="G303" s="9" t="str">
        <x:v>Защитная масляная основа, эфирное масло чайного дерева, вспомогательные компоненты.</x:v>
      </x:c>
      <x:c r="H303" s="9" t="str">
        <x:v>Есть сведения; см. ограничения</x:v>
      </x:c>
      <x:c r="I303" s="9" t="str">
        <x:v>См. карточку</x:v>
      </x:c>
      <x:c r="J303" s="10" t="n">
        <x:v>1</x:v>
      </x:c>
      <x:c r="K303" s="9" t="str">
        <x:v>См. коды и ограничения на листе «Сопоставления»</x:v>
      </x:c>
      <x:c r="L303" s="9"/>
      <x:c r="M303" s="11" t="str">
        <x:v>https://organic-mix.ru/catalog/biosanitarin-dlya-sadovogo-instrumenta-100-ml/</x:v>
      </x:c>
      <x:c r="N303" s="11"/>
    </x:row>
    <x:row r="304" ht="124" customHeight="1">
      <x:c r="A304" s="6" t="str">
        <x:v>P0299</x:v>
      </x:c>
      <x:c r="B304" s="6" t="str">
        <x:v>Органик Микс</x:v>
      </x:c>
      <x:c r="C304" s="6" t="str">
        <x:v>БИОСАНИТАРИН для теплиц и инвентаря</x:v>
      </x:c>
      <x:c r="D304" s="6" t="str">
        <x:v>Средство для растений/почвы</x:v>
      </x:c>
      <x:c r="E304" s="6" t="str">
        <x:v>Розничный каталог</x:v>
      </x:c>
      <x:c r="F304" s="6" t="str">
        <x:v>G34</x:v>
      </x:c>
      <x:c r="G304" s="6" t="str">
        <x:v>- Деминерализованная вода (обеспечивает равномерное распределение компонентов). - Поверхностно-активные вещества (мягкие биоразлагаемые компоненты, безопасные для растений и окружающей среды). - Эфирное масло эвкалипта (природный антисептик с мощными бактерицидными и фунгицидными свойствами). - Вспомогательные вещества (стабилизаторы, обеспечивающие равномерное распределение активных компонентов).</x:v>
      </x:c>
      <x:c r="H304" s="6" t="str">
        <x:v>Есть сведения; см. ограничения</x:v>
      </x:c>
      <x:c r="I304" s="6" t="str">
        <x:v>См. карточку</x:v>
      </x:c>
      <x:c r="J304" s="12" t="n">
        <x:v>1</x:v>
      </x:c>
      <x:c r="K304" s="6" t="str">
        <x:v>См. коды и ограничения на листе «Сопоставления»</x:v>
      </x:c>
      <x:c r="L304" s="6"/>
      <x:c r="M304" s="13" t="str">
        <x:v>https://organic-mix.ru/catalog/biosanitarin-dlya-teplits-i-inventarya-500-ml/</x:v>
      </x:c>
      <x:c r="N304" s="13"/>
    </x:row>
    <x:row r="305" ht="68" customHeight="1">
      <x:c r="A305" s="9" t="str">
        <x:v>P0300</x:v>
      </x:c>
      <x:c r="B305" s="9" t="str">
        <x:v>Органик Микс</x:v>
      </x:c>
      <x:c r="C305" s="9" t="str">
        <x:v>Грунт для домашнего огорода</x:v>
      </x:c>
      <x:c r="D305" s="9" t="str">
        <x:v>Средство для растений/почвы</x:v>
      </x:c>
      <x:c r="E305" s="9" t="str">
        <x:v>Розничный каталог</x:v>
      </x:c>
      <x:c r="F305" s="9" t="str">
        <x:v>G37</x:v>
      </x:c>
      <x:c r="G305" s="9" t="str">
        <x:v>Торф низкой степени разложения, Биогумус (не менее 20%), агроперлит, натуральный раскислитель</x:v>
      </x:c>
      <x:c r="H305" s="9" t="str">
        <x:v>Есть сведения; см. ограничения</x:v>
      </x:c>
      <x:c r="I305" s="9" t="str">
        <x:v>См. карточку</x:v>
      </x:c>
      <x:c r="J305" s="10" t="n">
        <x:v>2</x:v>
      </x:c>
      <x:c r="K305" s="9" t="str">
        <x:v>См. коды и ограничения на листе «Сопоставления»</x:v>
      </x:c>
      <x:c r="L305" s="9"/>
      <x:c r="M305" s="11" t="str">
        <x:v>https://organic-mix.ru/catalog/grunt-dlya-domashnego-ogoroda-40-l-organik-miks/</x:v>
      </x:c>
      <x:c r="N305" s="11"/>
    </x:row>
    <x:row r="306" ht="68" customHeight="1">
      <x:c r="A306" s="6" t="str">
        <x:v>P0301</x:v>
      </x:c>
      <x:c r="B306" s="6" t="str">
        <x:v>Органик Микс</x:v>
      </x:c>
      <x:c r="C306" s="6" t="str">
        <x:v>Грунт для рассады</x:v>
      </x:c>
      <x:c r="D306" s="6" t="str">
        <x:v>Средство для растений/почвы</x:v>
      </x:c>
      <x:c r="E306" s="6" t="str">
        <x:v>Розничный каталог</x:v>
      </x:c>
      <x:c r="F306" s="6" t="str">
        <x:v>G37</x:v>
      </x:c>
      <x:c r="G306" s="6" t="str">
        <x:v>Торф низкой степени разложения, биогумус (не менее 30%), агроперлит, натуральный раскислитель</x:v>
      </x:c>
      <x:c r="H306" s="6" t="str">
        <x:v>Есть сведения; см. ограничения</x:v>
      </x:c>
      <x:c r="I306" s="6" t="str">
        <x:v>См. карточку</x:v>
      </x:c>
      <x:c r="J306" s="12" t="n">
        <x:v>2</x:v>
      </x:c>
      <x:c r="K306" s="6" t="str">
        <x:v>См. коды и ограничения на листе «Сопоставления»</x:v>
      </x:c>
      <x:c r="L306" s="6"/>
      <x:c r="M306" s="13" t="str">
        <x:v>https://organic-mix.ru/catalog/grunt-dlya-rassady-40-l-organik-miks/</x:v>
      </x:c>
      <x:c r="N306" s="13"/>
    </x:row>
    <x:row r="307" ht="68" customHeight="1">
      <x:c r="A307" s="9" t="str">
        <x:v>P0302</x:v>
      </x:c>
      <x:c r="B307" s="9" t="str">
        <x:v>Органик Микс</x:v>
      </x:c>
      <x:c r="C307" s="9" t="str">
        <x:v>Грунт для семян и черенков</x:v>
      </x:c>
      <x:c r="D307" s="9" t="str">
        <x:v>Средство для растений/почвы</x:v>
      </x:c>
      <x:c r="E307" s="9" t="str">
        <x:v>Розничный каталог</x:v>
      </x:c>
      <x:c r="F307" s="9" t="str">
        <x:v>G37</x:v>
      </x:c>
      <x:c r="G307" s="9" t="str">
        <x:v>Торф низкой степени разложения, агроперлит, натуральный раскислитель</x:v>
      </x:c>
      <x:c r="H307" s="9" t="str">
        <x:v>Есть сведения; см. ограничения</x:v>
      </x:c>
      <x:c r="I307" s="9" t="str">
        <x:v>См. карточку</x:v>
      </x:c>
      <x:c r="J307" s="10" t="n">
        <x:v>1</x:v>
      </x:c>
      <x:c r="K307" s="9" t="str">
        <x:v>См. коды и ограничения на листе «Сопоставления»</x:v>
      </x:c>
      <x:c r="L307" s="9"/>
      <x:c r="M307" s="11" t="str">
        <x:v>https://organic-mix.ru/catalog/grunt-dlya-semyan-i-cherenkov-4l/</x:v>
      </x:c>
      <x:c r="N307" s="11"/>
    </x:row>
    <x:row r="308" ht="68" customHeight="1">
      <x:c r="A308" s="6" t="str">
        <x:v>P0303</x:v>
      </x:c>
      <x:c r="B308" s="6" t="str">
        <x:v>Органик Микс</x:v>
      </x:c>
      <x:c r="C308" s="6" t="str">
        <x:v>Гусеницам НЕТ - от гусениц</x:v>
      </x:c>
      <x:c r="D308" s="6" t="str">
        <x:v>Средство для растений/почвы</x:v>
      </x:c>
      <x:c r="E308" s="6" t="str">
        <x:v>Розничный каталог</x:v>
      </x:c>
      <x:c r="F308" s="6" t="str">
        <x:v>G15</x:v>
      </x:c>
      <x:c r="G308" s="6" t="str">
        <x:v>Уникальный штамм Bacillus thuringiensis, биодоступные энзимные активаторы, биоразлагаемые полимеры.</x:v>
      </x:c>
      <x:c r="H308" s="6" t="str">
        <x:v>Есть сведения; см. ограничения</x:v>
      </x:c>
      <x:c r="I308" s="6" t="str">
        <x:v>См. карточку</x:v>
      </x:c>
      <x:c r="J308" s="12" t="n">
        <x:v>3</x:v>
      </x:c>
      <x:c r="K308" s="6" t="str">
        <x:v>См. коды и ограничения на листе «Сопоставления»</x:v>
      </x:c>
      <x:c r="L308" s="6"/>
      <x:c r="M308" s="13" t="str">
        <x:v>https://organic-mix.ru/catalog/gusenitsam-net-ot-gusenits-180-gr/</x:v>
      </x:c>
      <x:c r="N308" s="13"/>
    </x:row>
    <x:row r="309" ht="68" customHeight="1">
      <x:c r="A309" s="9" t="str">
        <x:v>P0304</x:v>
      </x:c>
      <x:c r="B309" s="9" t="str">
        <x:v>Органик Микс</x:v>
      </x:c>
      <x:c r="C309" s="9" t="str">
        <x:v>Для зимовки растений АНТИЗИМА</x:v>
      </x:c>
      <x:c r="D309" s="9" t="str">
        <x:v>Средство для растений/почвы</x:v>
      </x:c>
      <x:c r="E309" s="9" t="str">
        <x:v>Розничный каталог</x:v>
      </x:c>
      <x:c r="F309" s="9" t="str">
        <x:v>—</x:v>
      </x:c>
      <x:c r="G309" s="9" t="str">
        <x:v>100% натуральные компоненты природного происхождения.</x:v>
      </x:c>
      <x:c r="H309" s="9" t="str">
        <x:v>Есть сведения; см. ограничения</x:v>
      </x:c>
      <x:c r="I309" s="9" t="str">
        <x:v>См. карточку</x:v>
      </x:c>
      <x:c r="J309" s="10" t="n">
        <x:v>5</x:v>
      </x:c>
      <x:c r="K309" s="9" t="str">
        <x:v>Близкий аналог не подтвержден</x:v>
      </x:c>
      <x:c r="L309" s="9"/>
      <x:c r="M309" s="11" t="str">
        <x:v>https://organic-mix.ru/catalog/antizima-60-gr-organik-miks/</x:v>
      </x:c>
      <x:c r="N309" s="11"/>
    </x:row>
    <x:row r="310" ht="68" customHeight="1">
      <x:c r="A310" s="6" t="str">
        <x:v>P0305</x:v>
      </x:c>
      <x:c r="B310" s="6" t="str">
        <x:v>Органик Микс</x:v>
      </x:c>
      <x:c r="C310" s="6" t="str">
        <x:v>КальцеГарден Органик Микс</x:v>
      </x:c>
      <x:c r="D310" s="6" t="str">
        <x:v>Средство для растений/почвы</x:v>
      </x:c>
      <x:c r="E310" s="6" t="str">
        <x:v>Розничный каталог</x:v>
      </x:c>
      <x:c r="F310" s="6" t="str">
        <x:v>—</x:v>
      </x:c>
      <x:c r="G310" s="6" t="str">
        <x:v>100% натуральные минералы природного происхождения</x:v>
      </x:c>
      <x:c r="H310" s="6" t="str">
        <x:v>Есть сведения; см. ограничения</x:v>
      </x:c>
      <x:c r="I310" s="6" t="str">
        <x:v>См. карточку</x:v>
      </x:c>
      <x:c r="J310" s="12" t="n">
        <x:v>5</x:v>
      </x:c>
      <x:c r="K310" s="6" t="str">
        <x:v>Близкий аналог не подтвержден</x:v>
      </x:c>
      <x:c r="L310" s="6"/>
      <x:c r="M310" s="13" t="str">
        <x:v>https://organic-mix.ru/catalog/kaltsegarden-organik-miks-9-kg-vedro/</x:v>
      </x:c>
      <x:c r="N310" s="13"/>
    </x:row>
    <x:row r="311" ht="68" customHeight="1">
      <x:c r="A311" s="9" t="str">
        <x:v>P0306</x:v>
      </x:c>
      <x:c r="B311" s="9" t="str">
        <x:v>Органик Микс</x:v>
      </x:c>
      <x:c r="C311" s="9" t="str">
        <x:v>Кислон для кислолюбивых растений</x:v>
      </x:c>
      <x:c r="D311" s="9" t="str">
        <x:v>Средство для растений/почвы</x:v>
      </x:c>
      <x:c r="E311" s="9" t="str">
        <x:v>Розничный каталог</x:v>
      </x:c>
      <x:c r="F311" s="9" t="str">
        <x:v>G23</x:v>
      </x:c>
      <x:c r="G311" s="9" t="str">
        <x:v>Композиция серосодержащих натуральных минералов.</x:v>
      </x:c>
      <x:c r="H311" s="9" t="str">
        <x:v>Есть сведения; см. ограничения</x:v>
      </x:c>
      <x:c r="I311" s="9" t="str">
        <x:v>См. карточку</x:v>
      </x:c>
      <x:c r="J311" s="10" t="n">
        <x:v>3</x:v>
      </x:c>
      <x:c r="K311" s="9" t="str">
        <x:v>См. коды и ограничения на листе «Сопоставления»</x:v>
      </x:c>
      <x:c r="L311" s="9"/>
      <x:c r="M311" s="11" t="str">
        <x:v>https://organic-mix.ru/catalog/kislon-dlya-kislolyubivykh-rasteniy/</x:v>
      </x:c>
      <x:c r="N311" s="11"/>
    </x:row>
    <x:row r="312" ht="68" customHeight="1">
      <x:c r="A312" s="6" t="str">
        <x:v>P0307</x:v>
      </x:c>
      <x:c r="B312" s="6" t="str">
        <x:v>Органик Микс</x:v>
      </x:c>
      <x:c r="C312" s="6" t="str">
        <x:v>Костная мука</x:v>
      </x:c>
      <x:c r="D312" s="6" t="str">
        <x:v>Средство для растений/почвы</x:v>
      </x:c>
      <x:c r="E312" s="6" t="str">
        <x:v>Розничный каталог</x:v>
      </x:c>
      <x:c r="F312" s="6" t="str">
        <x:v>G05; G27</x:v>
      </x:c>
      <x:c r="G312" s="6" t="str">
        <x:v>NPK: 4-15-0 Костная мука мелкого помола из отборного сырья с повышенным содержанием фосфора. N-4%, P-15%, K-0%, Ca, Mg, S, Zn, Fe, B, Mo</x:v>
      </x:c>
      <x:c r="H312" s="6" t="str">
        <x:v>Есть сведения; см. ограничения</x:v>
      </x:c>
      <x:c r="I312" s="6" t="str">
        <x:v>Сухой продукт</x:v>
      </x:c>
      <x:c r="J312" s="12" t="n">
        <x:v>3</x:v>
      </x:c>
      <x:c r="K312" s="6" t="str">
        <x:v>См. коды и ограничения на листе «Сопоставления»</x:v>
      </x:c>
      <x:c r="L312" s="6"/>
      <x:c r="M312" s="13" t="str">
        <x:v>https://organic-mix.ru/catalog/kostnaya-muka-organik-miks-2-8-kg/</x:v>
      </x:c>
      <x:c r="N312" s="13"/>
    </x:row>
    <x:row r="313" ht="68" customHeight="1">
      <x:c r="A313" s="9" t="str">
        <x:v>P0308</x:v>
      </x:c>
      <x:c r="B313" s="9" t="str">
        <x:v>Органик Микс</x:v>
      </x:c>
      <x:c r="C313" s="9" t="str">
        <x:v>Кровяная мука</x:v>
      </x:c>
      <x:c r="D313" s="9" t="str">
        <x:v>Средство для растений/почвы</x:v>
      </x:c>
      <x:c r="E313" s="9" t="str">
        <x:v>Розничный каталог</x:v>
      </x:c>
      <x:c r="F313" s="9" t="str">
        <x:v>G04; G26</x:v>
      </x:c>
      <x:c r="G313" s="9" t="str">
        <x:v>NPK: 13-0-0 Кровяная мука обезжиренного мелкого помола отборного сырья с повышенным содержанием азота и железа. N-13%, K, Ca, Fe</x:v>
      </x:c>
      <x:c r="H313" s="9" t="str">
        <x:v>Есть сведения; см. ограничения</x:v>
      </x:c>
      <x:c r="I313" s="9" t="str">
        <x:v>Сухой продукт</x:v>
      </x:c>
      <x:c r="J313" s="10" t="n">
        <x:v>1</x:v>
      </x:c>
      <x:c r="K313" s="9" t="str">
        <x:v>См. коды и ограничения на листе «Сопоставления»</x:v>
      </x:c>
      <x:c r="L313" s="9"/>
      <x:c r="M313" s="11" t="str">
        <x:v>https://organic-mix.ru/catalog/krovyanaya-muka/</x:v>
      </x:c>
      <x:c r="N313" s="11"/>
    </x:row>
    <x:row r="314" ht="68" customHeight="1">
      <x:c r="A314" s="6" t="str">
        <x:v>P0309</x:v>
      </x:c>
      <x:c r="B314" s="6" t="str">
        <x:v>Органик Микс</x:v>
      </x:c>
      <x:c r="C314" s="6" t="str">
        <x:v>Ленивый азот</x:v>
      </x:c>
      <x:c r="D314" s="6" t="str">
        <x:v>Средство для растений/почвы</x:v>
      </x:c>
      <x:c r="E314" s="6" t="str">
        <x:v>Розничный каталог</x:v>
      </x:c>
      <x:c r="F314" s="6" t="str">
        <x:v>G26</x:v>
      </x:c>
      <x:c r="G314" s="6" t="str">
        <x:v>NPK: 10-1-4 100% органические компоненты. Содержание овечьей шерсти не менее 50%</x:v>
      </x:c>
      <x:c r="H314" s="6" t="str">
        <x:v>Есть сведения; см. ограничения</x:v>
      </x:c>
      <x:c r="I314" s="6" t="str">
        <x:v>См. карточку</x:v>
      </x:c>
      <x:c r="J314" s="12" t="n">
        <x:v>4</x:v>
      </x:c>
      <x:c r="K314" s="6" t="str">
        <x:v>См. коды и ограничения на листе «Сопоставления»</x:v>
      </x:c>
      <x:c r="L314" s="6"/>
      <x:c r="M314" s="13" t="str">
        <x:v>https://organic-mix.ru/catalog/lenivyy-azot-750-gr-organik-miks/</x:v>
      </x:c>
      <x:c r="N314" s="13"/>
    </x:row>
    <x:row r="315" ht="68" customHeight="1">
      <x:c r="A315" s="9" t="str">
        <x:v>P0310</x:v>
      </x:c>
      <x:c r="B315" s="9" t="str">
        <x:v>Органик Микс</x:v>
      </x:c>
      <x:c r="C315" s="9" t="str">
        <x:v>ЛИСТОЧИСТ (СПРЕЙ) - органическое средство защиты растений 3 в 1</x:v>
      </x:c>
      <x:c r="D315" s="9" t="str">
        <x:v>Средство для растений/почвы</x:v>
      </x:c>
      <x:c r="E315" s="9" t="str">
        <x:v>Розничный каталог</x:v>
      </x:c>
      <x:c r="F315" s="9" t="str">
        <x:v>—</x:v>
      </x:c>
      <x:c r="G315" s="9" t="str">
        <x:v>На основе эфирного масла мяты и натуральных поверхностно-активных веществ.</x:v>
      </x:c>
      <x:c r="H315" s="9" t="str">
        <x:v>Есть сведения; см. ограничения</x:v>
      </x:c>
      <x:c r="I315" s="9" t="str">
        <x:v>Готовый спрей</x:v>
      </x:c>
      <x:c r="J315" s="10" t="n">
        <x:v>2</x:v>
      </x:c>
      <x:c r="K315" s="9" t="str">
        <x:v>Близкий аналог не подтвержден</x:v>
      </x:c>
      <x:c r="L315" s="9"/>
      <x:c r="M315" s="11" t="str">
        <x:v>https://organic-mix.ru/catalog/listochist-sprey-organicheskoe-sredstvo-zashchity-rasteniy-3-v-1-1-l/</x:v>
      </x:c>
      <x:c r="N315" s="11"/>
    </x:row>
    <x:row r="316" ht="68" customHeight="1">
      <x:c r="A316" s="6" t="str">
        <x:v>P0311</x:v>
      </x:c>
      <x:c r="B316" s="6" t="str">
        <x:v>Органик Микс</x:v>
      </x:c>
      <x:c r="C316" s="6" t="str">
        <x:v>Магний органический</x:v>
      </x:c>
      <x:c r="D316" s="6" t="str">
        <x:v>Средство для растений/почвы</x:v>
      </x:c>
      <x:c r="E316" s="6" t="str">
        <x:v>Розничный каталог</x:v>
      </x:c>
      <x:c r="F316" s="6" t="str">
        <x:v>G20</x:v>
      </x:c>
      <x:c r="G316" s="6" t="str">
        <x:v>MgO - 26% Природный минерал кизерит</x:v>
      </x:c>
      <x:c r="H316" s="6" t="str">
        <x:v>Есть сведения; см. ограничения</x:v>
      </x:c>
      <x:c r="I316" s="6" t="str">
        <x:v>См. карточку</x:v>
      </x:c>
      <x:c r="J316" s="12" t="n">
        <x:v>3</x:v>
      </x:c>
      <x:c r="K316" s="6" t="str">
        <x:v>См. коды и ограничения на листе «Сопоставления»</x:v>
      </x:c>
      <x:c r="L316" s="6"/>
      <x:c r="M316" s="13" t="str">
        <x:v>https://organic-mix.ru/catalog/magniy-organicheskiy-350-gr-organiks-miks/</x:v>
      </x:c>
      <x:c r="N316" s="13"/>
    </x:row>
    <x:row r="317" ht="68" customHeight="1">
      <x:c r="A317" s="9" t="str">
        <x:v>P0312</x:v>
      </x:c>
      <x:c r="B317" s="9" t="str">
        <x:v>Органик Микс</x:v>
      </x:c>
      <x:c r="C317" s="9" t="str">
        <x:v>Морской коктейль (водорастворимый) для Гортензий Органик Микс</x:v>
      </x:c>
      <x:c r="D317" s="9" t="str">
        <x:v>Средство для растений/почвы</x:v>
      </x:c>
      <x:c r="E317" s="9" t="str">
        <x:v>Розничный каталог</x:v>
      </x:c>
      <x:c r="F317" s="9" t="str">
        <x:v>C07</x:v>
      </x:c>
      <x:c r="G317" s="9" t="str">
        <x:v>NPK 7-3-10 Автолизат из морских обитателей, аминокислоты, пептиды и белковые соединения, органические кислоты.</x:v>
      </x:c>
      <x:c r="H317" s="9" t="str">
        <x:v>Есть сведения; см. ограничения</x:v>
      </x:c>
      <x:c r="I317" s="9" t="str">
        <x:v>Водорастворимый</x:v>
      </x:c>
      <x:c r="J317" s="10" t="n">
        <x:v>2</x:v>
      </x:c>
      <x:c r="K317" s="9" t="str">
        <x:v>См. коды и ограничения на листе «Сопоставления»</x:v>
      </x:c>
      <x:c r="L317" s="9"/>
      <x:c r="M317" s="11" t="str">
        <x:v>https://organic-mix.ru/catalog/morskoy-kokteyl-vodorastvorimyy-dlya-gortenziy-150-g-organik-miks/</x:v>
      </x:c>
      <x:c r="N317" s="11"/>
    </x:row>
    <x:row r="318" ht="68" customHeight="1">
      <x:c r="A318" s="6" t="str">
        <x:v>P0313</x:v>
      </x:c>
      <x:c r="B318" s="6" t="str">
        <x:v>Органик Микс</x:v>
      </x:c>
      <x:c r="C318" s="6" t="str">
        <x:v>Морской коктейль (водорастворимый) для Клубники</x:v>
      </x:c>
      <x:c r="D318" s="6" t="str">
        <x:v>Средство для растений/почвы</x:v>
      </x:c>
      <x:c r="E318" s="6" t="str">
        <x:v>Розничный каталог</x:v>
      </x:c>
      <x:c r="F318" s="6" t="str">
        <x:v>C05</x:v>
      </x:c>
      <x:c r="G318" s="6" t="str">
        <x:v>Автолизат из морских обитателей, аминокислоты, пептиды и белковые соединения, органические кислоты. NPK 7-3-10</x:v>
      </x:c>
      <x:c r="H318" s="6" t="str">
        <x:v>Есть сведения; см. ограничения</x:v>
      </x:c>
      <x:c r="I318" s="6" t="str">
        <x:v>Водорастворимый</x:v>
      </x:c>
      <x:c r="J318" s="12" t="n">
        <x:v>2</x:v>
      </x:c>
      <x:c r="K318" s="6" t="str">
        <x:v>См. коды и ограничения на листе «Сопоставления»</x:v>
      </x:c>
      <x:c r="L318" s="6"/>
      <x:c r="M318" s="13" t="str">
        <x:v>https://organic-mix.ru/catalog/morskoy-kokteyl-vodorastvorimyy-dlya-klubniki-600-gr-/</x:v>
      </x:c>
      <x:c r="N318" s="13"/>
    </x:row>
    <x:row r="319" ht="68" customHeight="1">
      <x:c r="A319" s="9" t="str">
        <x:v>P0314</x:v>
      </x:c>
      <x:c r="B319" s="9" t="str">
        <x:v>Органик Микс</x:v>
      </x:c>
      <x:c r="C319" s="9" t="str">
        <x:v>Морской коктейль (водорастворимый) для Комнатных растений Органик Микс</x:v>
      </x:c>
      <x:c r="D319" s="9" t="str">
        <x:v>Средство для растений/почвы</x:v>
      </x:c>
      <x:c r="E319" s="9" t="str">
        <x:v>Розничный каталог</x:v>
      </x:c>
      <x:c r="F319" s="9" t="str">
        <x:v>C11</x:v>
      </x:c>
      <x:c r="G319" s="9" t="str">
        <x:v>NPK 7-3-10 Автолизат из морских обитателей, аминокислоты, пептиды и белковые соединения, органические кислоты, минеральный комплекс.</x:v>
      </x:c>
      <x:c r="H319" s="9" t="str">
        <x:v>Есть сведения; см. ограничения</x:v>
      </x:c>
      <x:c r="I319" s="9" t="str">
        <x:v>Водорастворимый</x:v>
      </x:c>
      <x:c r="J319" s="10" t="n">
        <x:v>1</x:v>
      </x:c>
      <x:c r="K319" s="9" t="str">
        <x:v>См. коды и ограничения на листе «Сопоставления»</x:v>
      </x:c>
      <x:c r="L319" s="9"/>
      <x:c r="M319" s="11" t="str">
        <x:v>https://organic-mix.ru/catalog/morskoy-kokteyl-vodorastvorimyy-dlya-komnatnykh-rasteniy-150-g-organik-miks/</x:v>
      </x:c>
      <x:c r="N319" s="11"/>
    </x:row>
    <x:row r="320" ht="68" customHeight="1">
      <x:c r="A320" s="6" t="str">
        <x:v>P0315</x:v>
      </x:c>
      <x:c r="B320" s="6" t="str">
        <x:v>Органик Микс</x:v>
      </x:c>
      <x:c r="C320" s="6" t="str">
        <x:v>Морской коктейль (водорастворимый) для Огурцов Органик Микс</x:v>
      </x:c>
      <x:c r="D320" s="6" t="str">
        <x:v>Средство для растений/почвы</x:v>
      </x:c>
      <x:c r="E320" s="6" t="str">
        <x:v>Розничный каталог</x:v>
      </x:c>
      <x:c r="F320" s="6" t="str">
        <x:v>C03</x:v>
      </x:c>
      <x:c r="G320" s="6" t="str">
        <x:v>Автолизат из морских обитателей, аминокислоты, пептиды и белковые соединения, органические кислоты. NPK 7-3-10</x:v>
      </x:c>
      <x:c r="H320" s="6" t="str">
        <x:v>Есть сведения; см. ограничения</x:v>
      </x:c>
      <x:c r="I320" s="6" t="str">
        <x:v>Водорастворимый</x:v>
      </x:c>
      <x:c r="J320" s="12" t="n">
        <x:v>2</x:v>
      </x:c>
      <x:c r="K320" s="6" t="str">
        <x:v>См. коды и ограничения на листе «Сопоставления»</x:v>
      </x:c>
      <x:c r="L320" s="6"/>
      <x:c r="M320" s="13" t="str">
        <x:v>https://organic-mix.ru/catalog/morskoy-kokteyl-vodorastvorimyy-dlya-ogurtsov-600-g-organik-miks/</x:v>
      </x:c>
      <x:c r="N320" s="13"/>
    </x:row>
    <x:row r="321" ht="68" customHeight="1">
      <x:c r="A321" s="9" t="str">
        <x:v>P0316</x:v>
      </x:c>
      <x:c r="B321" s="9" t="str">
        <x:v>Органик Микс</x:v>
      </x:c>
      <x:c r="C321" s="9" t="str">
        <x:v>Морской коктейль (водорастворимый) для рассады Органик Микс</x:v>
      </x:c>
      <x:c r="D321" s="9" t="str">
        <x:v>Средство для растений/почвы</x:v>
      </x:c>
      <x:c r="E321" s="9" t="str">
        <x:v>Розничный каталог</x:v>
      </x:c>
      <x:c r="F321" s="9" t="str">
        <x:v>C04</x:v>
      </x:c>
      <x:c r="G321" s="9" t="str">
        <x:v>Автолизат из морских обитателей, аминокислоты, пептиды и белковые соединения, органические кислоты. NPK 7-3-10</x:v>
      </x:c>
      <x:c r="H321" s="9" t="str">
        <x:v>Есть сведения; см. ограничения</x:v>
      </x:c>
      <x:c r="I321" s="9" t="str">
        <x:v>Водорастворимый</x:v>
      </x:c>
      <x:c r="J321" s="10" t="n">
        <x:v>1</x:v>
      </x:c>
      <x:c r="K321" s="9" t="str">
        <x:v>См. коды и ограничения на листе «Сопоставления»</x:v>
      </x:c>
      <x:c r="L321" s="9"/>
      <x:c r="M321" s="11" t="str">
        <x:v>https://organic-mix.ru/catalog/morskoy-kokteyl-vodorastvorimyy-dlya-rassady-150-gr-organik-miks/</x:v>
      </x:c>
      <x:c r="N321" s="11"/>
    </x:row>
    <x:row r="322" ht="68" customHeight="1">
      <x:c r="A322" s="6" t="str">
        <x:v>P0317</x:v>
      </x:c>
      <x:c r="B322" s="6" t="str">
        <x:v>Органик Микс</x:v>
      </x:c>
      <x:c r="C322" s="6" t="str">
        <x:v>Морской коктейль (водорастворимый) для Роз Органик Микс</x:v>
      </x:c>
      <x:c r="D322" s="6" t="str">
        <x:v>Средство для растений/почвы</x:v>
      </x:c>
      <x:c r="E322" s="6" t="str">
        <x:v>Розничный каталог</x:v>
      </x:c>
      <x:c r="F322" s="6" t="str">
        <x:v>C06</x:v>
      </x:c>
      <x:c r="G322" s="6" t="str">
        <x:v>NPK 7-3-10 Автолизат из морских обитателей, аминокислоты, пептиды и белковые соединения, органические кислоты.</x:v>
      </x:c>
      <x:c r="H322" s="6" t="str">
        <x:v>Есть сведения; см. ограничения</x:v>
      </x:c>
      <x:c r="I322" s="6" t="str">
        <x:v>Водорастворимый</x:v>
      </x:c>
      <x:c r="J322" s="12" t="n">
        <x:v>4</x:v>
      </x:c>
      <x:c r="K322" s="6" t="str">
        <x:v>См. коды и ограничения на листе «Сопоставления»</x:v>
      </x:c>
      <x:c r="L322" s="6"/>
      <x:c r="M322" s="13" t="str">
        <x:v>https://organic-mix.ru/catalog/morskoy-kokteyl-vodorastvorimyy-dlya-roz-150-g-organik-miks/</x:v>
      </x:c>
      <x:c r="N322" s="13"/>
    </x:row>
    <x:row r="323" ht="68" customHeight="1">
      <x:c r="A323" s="9" t="str">
        <x:v>P0318</x:v>
      </x:c>
      <x:c r="B323" s="9" t="str">
        <x:v>Органик Микс</x:v>
      </x:c>
      <x:c r="C323" s="9" t="str">
        <x:v>Морской коктейль (водорастворимый) для Томатов Органик Микс</x:v>
      </x:c>
      <x:c r="D323" s="9" t="str">
        <x:v>Средство для растений/почвы</x:v>
      </x:c>
      <x:c r="E323" s="9" t="str">
        <x:v>Розничный каталог</x:v>
      </x:c>
      <x:c r="F323" s="9" t="str">
        <x:v>C02</x:v>
      </x:c>
      <x:c r="G323" s="9" t="str">
        <x:v>Автолизат из морских обитателей, аминокислоты, пептиды и белковые соединения, органические кислоты. NPK 7-3-10</x:v>
      </x:c>
      <x:c r="H323" s="9" t="str">
        <x:v>Есть сведения; см. ограничения</x:v>
      </x:c>
      <x:c r="I323" s="9" t="str">
        <x:v>Водорастворимый</x:v>
      </x:c>
      <x:c r="J323" s="10" t="n">
        <x:v>2</x:v>
      </x:c>
      <x:c r="K323" s="9" t="str">
        <x:v>См. коды и ограничения на листе «Сопоставления»</x:v>
      </x:c>
      <x:c r="L323" s="9"/>
      <x:c r="M323" s="11" t="str">
        <x:v>https://organic-mix.ru/catalog/morskoy-kokteyl-vodorastvorimyy-dlya-tomatov-600-g-organik-miks/</x:v>
      </x:c>
      <x:c r="N323" s="11"/>
    </x:row>
    <x:row r="324" ht="68" customHeight="1">
      <x:c r="A324" s="6" t="str">
        <x:v>P0319</x:v>
      </x:c>
      <x:c r="B324" s="6" t="str">
        <x:v>Органик Микс</x:v>
      </x:c>
      <x:c r="C324" s="6" t="str">
        <x:v>Морской коктейль (водорастворимый) для Туй Органик Микс</x:v>
      </x:c>
      <x:c r="D324" s="6" t="str">
        <x:v>Средство для растений/почвы</x:v>
      </x:c>
      <x:c r="E324" s="6" t="str">
        <x:v>Розничный каталог</x:v>
      </x:c>
      <x:c r="F324" s="6" t="str">
        <x:v>C09</x:v>
      </x:c>
      <x:c r="G324" s="6" t="str">
        <x:v>NPK 7-3-10 Автолизат из морских обитателей, аминокислоты, пептиды и белковые соединения, органические кислоты.</x:v>
      </x:c>
      <x:c r="H324" s="6" t="str">
        <x:v>Есть сведения; см. ограничения</x:v>
      </x:c>
      <x:c r="I324" s="6" t="str">
        <x:v>Водорастворимый</x:v>
      </x:c>
      <x:c r="J324" s="12" t="n">
        <x:v>2</x:v>
      </x:c>
      <x:c r="K324" s="6" t="str">
        <x:v>См. коды и ограничения на листе «Сопоставления»</x:v>
      </x:c>
      <x:c r="L324" s="6"/>
      <x:c r="M324" s="13" t="str">
        <x:v>https://organic-mix.ru/catalog/morskoy-kokteyl-vodorastvorimyy-dlya-tuy-150-g-organik-miks/</x:v>
      </x:c>
      <x:c r="N324" s="13"/>
    </x:row>
    <x:row r="325" ht="68" customHeight="1">
      <x:c r="A325" s="9" t="str">
        <x:v>P0320</x:v>
      </x:c>
      <x:c r="B325" s="9" t="str">
        <x:v>Органик Микс</x:v>
      </x:c>
      <x:c r="C325" s="9" t="str">
        <x:v>Морской коктейль (водорастворимый) для Фикусов и Пальм Органик Микс</x:v>
      </x:c>
      <x:c r="D325" s="9" t="str">
        <x:v>Средство для растений/почвы</x:v>
      </x:c>
      <x:c r="E325" s="9" t="str">
        <x:v>Розничный каталог</x:v>
      </x:c>
      <x:c r="F325" s="9" t="str">
        <x:v>C13</x:v>
      </x:c>
      <x:c r="G325" s="9" t="str">
        <x:v>NPK 7-3-10 Автолизат из морских обитателей, аминокислоты, пептиды и белковые соединения, органические кислоты, минеральный комплекс.</x:v>
      </x:c>
      <x:c r="H325" s="9" t="str">
        <x:v>Есть сведения; см. ограничения</x:v>
      </x:c>
      <x:c r="I325" s="9" t="str">
        <x:v>Водорастворимый</x:v>
      </x:c>
      <x:c r="J325" s="10" t="n">
        <x:v>1</x:v>
      </x:c>
      <x:c r="K325" s="9" t="str">
        <x:v>См. коды и ограничения на листе «Сопоставления»</x:v>
      </x:c>
      <x:c r="L325" s="9"/>
      <x:c r="M325" s="11" t="str">
        <x:v>https://organic-mix.ru/catalog/morskoy-kokteyl-vodorastvorimyy-dlya-fikusov-i-palm-150-g-organik-miks/</x:v>
      </x:c>
      <x:c r="N325" s="11"/>
    </x:row>
    <x:row r="326" ht="68" customHeight="1">
      <x:c r="A326" s="6" t="str">
        <x:v>P0321</x:v>
      </x:c>
      <x:c r="B326" s="6" t="str">
        <x:v>Органик Микс</x:v>
      </x:c>
      <x:c r="C326" s="6" t="str">
        <x:v>Морской коктейль (водорастворимый) для Цветов Органик Микс</x:v>
      </x:c>
      <x:c r="D326" s="6" t="str">
        <x:v>Средство для растений/почвы</x:v>
      </x:c>
      <x:c r="E326" s="6" t="str">
        <x:v>Розничный каталог</x:v>
      </x:c>
      <x:c r="F326" s="6" t="str">
        <x:v>C17</x:v>
      </x:c>
      <x:c r="G326" s="6" t="str">
        <x:v>Автолизат из морских обитателей, аминокислоты, пептиды и белковые соединения, органические кислоты. NPK 7-3-10</x:v>
      </x:c>
      <x:c r="H326" s="6" t="str">
        <x:v>Есть сведения; см. ограничения</x:v>
      </x:c>
      <x:c r="I326" s="6" t="str">
        <x:v>Водорастворимый</x:v>
      </x:c>
      <x:c r="J326" s="12" t="n">
        <x:v>2</x:v>
      </x:c>
      <x:c r="K326" s="6" t="str">
        <x:v>См. коды и ограничения на листе «Сопоставления»</x:v>
      </x:c>
      <x:c r="L326" s="6"/>
      <x:c r="M326" s="13" t="str">
        <x:v>https://organic-mix.ru/catalog/morskoy-kokteyl-vodorastvorimyy-dlya-tsvetov-600-g-organik-miks/</x:v>
      </x:c>
      <x:c r="N326" s="13"/>
    </x:row>
    <x:row r="327" ht="68" customHeight="1">
      <x:c r="A327" s="9" t="str">
        <x:v>P0322</x:v>
      </x:c>
      <x:c r="B327" s="9" t="str">
        <x:v>Органик Микс</x:v>
      </x:c>
      <x:c r="C327" s="9" t="str">
        <x:v>Морской коктейль (водорастворимый) Осенний Органик Микс</x:v>
      </x:c>
      <x:c r="D327" s="9" t="str">
        <x:v>Средство для растений/почвы</x:v>
      </x:c>
      <x:c r="E327" s="9" t="str">
        <x:v>Розничный каталог</x:v>
      </x:c>
      <x:c r="F327" s="9" t="str">
        <x:v>C21</x:v>
      </x:c>
      <x:c r="G327" s="9" t="str">
        <x:v>Автолизат из морских обитателей, аминокислоты, пептиды и белковые соединения, органические кислоты.</x:v>
      </x:c>
      <x:c r="H327" s="9" t="str">
        <x:v>Есть сведения; см. ограничения</x:v>
      </x:c>
      <x:c r="I327" s="9" t="str">
        <x:v>Водорастворимый</x:v>
      </x:c>
      <x:c r="J327" s="10" t="n">
        <x:v>2</x:v>
      </x:c>
      <x:c r="K327" s="9" t="str">
        <x:v>См. коды и ограничения на листе «Сопоставления»</x:v>
      </x:c>
      <x:c r="L327" s="9"/>
      <x:c r="M327" s="11" t="str">
        <x:v>https://organic-mix.ru/catalog/morskoy-kokteyl-vodorastvorimyy-osenniy-600-gr-organik-miks/</x:v>
      </x:c>
      <x:c r="N327" s="11"/>
    </x:row>
    <x:row r="328" ht="68" customHeight="1">
      <x:c r="A328" s="6" t="str">
        <x:v>P0323</x:v>
      </x:c>
      <x:c r="B328" s="6" t="str">
        <x:v>Органик Микс</x:v>
      </x:c>
      <x:c r="C328" s="6" t="str">
        <x:v>Морской коктейль (водорастворимый) Универсальный Органик Микс</x:v>
      </x:c>
      <x:c r="D328" s="6" t="str">
        <x:v>Средство для растений/почвы</x:v>
      </x:c>
      <x:c r="E328" s="6" t="str">
        <x:v>Розничный каталог</x:v>
      </x:c>
      <x:c r="F328" s="6" t="str">
        <x:v>C01</x:v>
      </x:c>
      <x:c r="G328" s="6" t="str">
        <x:v>Автолизат из морских обитателей, аминокислоты, пептиды и белковые соединения, органические кислоты. NPK 7-3-10</x:v>
      </x:c>
      <x:c r="H328" s="6" t="str">
        <x:v>Есть сведения; см. ограничения</x:v>
      </x:c>
      <x:c r="I328" s="6" t="str">
        <x:v>Водорастворимый</x:v>
      </x:c>
      <x:c r="J328" s="12" t="n">
        <x:v>2</x:v>
      </x:c>
      <x:c r="K328" s="6" t="str">
        <x:v>См. коды и ограничения на листе «Сопоставления»</x:v>
      </x:c>
      <x:c r="L328" s="6"/>
      <x:c r="M328" s="13" t="str">
        <x:v>https://organic-mix.ru/catalog/morskoy-kokteyl-vodorastvorimyy-universalnyy-600-gr-organik-miks-/</x:v>
      </x:c>
      <x:c r="N328" s="13"/>
    </x:row>
    <x:row r="329" ht="68" customHeight="1">
      <x:c r="A329" s="9" t="str">
        <x:v>P0324</x:v>
      </x:c>
      <x:c r="B329" s="9" t="str">
        <x:v>Органик Микс</x:v>
      </x:c>
      <x:c r="C329" s="9" t="str">
        <x:v>Морской коктейль (водорастворимый) УСКОРИТЕЛЬ СОЗРЕВАНИЯ</x:v>
      </x:c>
      <x:c r="D329" s="9" t="str">
        <x:v>Средство для растений/почвы</x:v>
      </x:c>
      <x:c r="E329" s="9" t="str">
        <x:v>Розничный каталог</x:v>
      </x:c>
      <x:c r="F329" s="9" t="str">
        <x:v>—</x:v>
      </x:c>
      <x:c r="G329" s="9" t="str">
        <x:v>NPK 3-5-12 Автолизат из морских обитателей, экстракты овощей, аминокислоты, пептиды и белковые соединения, органические кислоты.</x:v>
      </x:c>
      <x:c r="H329" s="9" t="str">
        <x:v>Есть сведения; см. ограничения</x:v>
      </x:c>
      <x:c r="I329" s="9" t="str">
        <x:v>Водорастворимый</x:v>
      </x:c>
      <x:c r="J329" s="10" t="n">
        <x:v>2</x:v>
      </x:c>
      <x:c r="K329" s="9" t="str">
        <x:v>Близкий аналог не подтвержден</x:v>
      </x:c>
      <x:c r="L329" s="9"/>
      <x:c r="M329" s="11" t="str">
        <x:v>https://organic-mix.ru/catalog/morskoy-kokteyl-vodorastvorimyy-uskoritel-sozrevaniya-600-g-organik-miks/</x:v>
      </x:c>
      <x:c r="N329" s="11"/>
    </x:row>
    <x:row r="330" ht="68" customHeight="1">
      <x:c r="A330" s="6" t="str">
        <x:v>P0325</x:v>
      </x:c>
      <x:c r="B330" s="6" t="str">
        <x:v>Органик Микс</x:v>
      </x:c>
      <x:c r="C330" s="6" t="str">
        <x:v>МОРСКОЙ КОКТЕЙЛЬ (жидкий)</x:v>
      </x:c>
      <x:c r="D330" s="6" t="str">
        <x:v>Средство для растений/почвы</x:v>
      </x:c>
      <x:c r="E330" s="6" t="str">
        <x:v>Розничный каталог</x:v>
      </x:c>
      <x:c r="F330" s="6" t="str">
        <x:v>C01</x:v>
      </x:c>
      <x:c r="G330" s="6" t="str">
        <x:v>NPK: 3-1-1 Автолизат из морских обитателей с высоким содержанием протеина и аминокислот</x:v>
      </x:c>
      <x:c r="H330" s="6" t="str">
        <x:v>Есть сведения; см. ограничения</x:v>
      </x:c>
      <x:c r="I330" s="6" t="str">
        <x:v>Жидкость/концентрат</x:v>
      </x:c>
      <x:c r="J330" s="12" t="n">
        <x:v>3</x:v>
      </x:c>
      <x:c r="K330" s="6" t="str">
        <x:v>См. коды и ограничения на листе «Сопоставления»</x:v>
      </x:c>
      <x:c r="L330" s="6"/>
      <x:c r="M330" s="13" t="str">
        <x:v>https://organic-mix.ru/catalog/morskoy-kokteyl-5-litrov/</x:v>
      </x:c>
      <x:c r="N330" s="13"/>
    </x:row>
    <x:row r="331" ht="68" customHeight="1">
      <x:c r="A331" s="9" t="str">
        <x:v>P0326</x:v>
      </x:c>
      <x:c r="B331" s="9" t="str">
        <x:v>Органик Микс</x:v>
      </x:c>
      <x:c r="C331" s="9" t="str">
        <x:v>Морской коктейль (жидкий) для Гортензий</x:v>
      </x:c>
      <x:c r="D331" s="9" t="str">
        <x:v>Средство для растений/почвы</x:v>
      </x:c>
      <x:c r="E331" s="9" t="str">
        <x:v>Розничный каталог</x:v>
      </x:c>
      <x:c r="F331" s="9" t="str">
        <x:v>C07</x:v>
      </x:c>
      <x:c r="G331" s="9" t="str">
        <x:v>Автолизат из морских обитателей с высоким содержанием протеина и аминокислот</x:v>
      </x:c>
      <x:c r="H331" s="9" t="str">
        <x:v>Есть сведения; см. ограничения</x:v>
      </x:c>
      <x:c r="I331" s="9" t="str">
        <x:v>Жидкость/концентрат</x:v>
      </x:c>
      <x:c r="J331" s="10" t="n">
        <x:v>3</x:v>
      </x:c>
      <x:c r="K331" s="9" t="str">
        <x:v>См. коды и ограничения на листе «Сопоставления»</x:v>
      </x:c>
      <x:c r="L331" s="9"/>
      <x:c r="M331" s="11" t="str">
        <x:v>https://organic-mix.ru/catalog/morskoy-kokteyl-zhidkiy-dlya-gortenziy-450-ml/</x:v>
      </x:c>
      <x:c r="N331" s="11"/>
    </x:row>
    <x:row r="332" ht="68" customHeight="1">
      <x:c r="A332" s="6" t="str">
        <x:v>P0327</x:v>
      </x:c>
      <x:c r="B332" s="6" t="str">
        <x:v>Органик Микс</x:v>
      </x:c>
      <x:c r="C332" s="6" t="str">
        <x:v>Морской коктейль (жидкий) для Клубники</x:v>
      </x:c>
      <x:c r="D332" s="6" t="str">
        <x:v>Средство для растений/почвы</x:v>
      </x:c>
      <x:c r="E332" s="6" t="str">
        <x:v>Розничный каталог</x:v>
      </x:c>
      <x:c r="F332" s="6" t="str">
        <x:v>C05</x:v>
      </x:c>
      <x:c r="G332" s="6" t="str">
        <x:v>Автолизат из морских обитателей с высоким содержанием протеина и аминокислот</x:v>
      </x:c>
      <x:c r="H332" s="6" t="str">
        <x:v>Есть сведения; см. ограничения</x:v>
      </x:c>
      <x:c r="I332" s="6" t="str">
        <x:v>Жидкость/концентрат</x:v>
      </x:c>
      <x:c r="J332" s="12" t="n">
        <x:v>6</x:v>
      </x:c>
      <x:c r="K332" s="6" t="str">
        <x:v>См. коды и ограничения на листе «Сопоставления»</x:v>
      </x:c>
      <x:c r="L332" s="6"/>
      <x:c r="M332" s="13" t="str">
        <x:v>https://organic-mix.ru/catalog/morskoy-kokteyl-zhidkiy-dlya-klubniki-450-ml/</x:v>
      </x:c>
      <x:c r="N332" s="13"/>
    </x:row>
    <x:row r="333" ht="68" customHeight="1">
      <x:c r="A333" s="9" t="str">
        <x:v>P0328</x:v>
      </x:c>
      <x:c r="B333" s="9" t="str">
        <x:v>Органик Микс</x:v>
      </x:c>
      <x:c r="C333" s="9" t="str">
        <x:v>Морской коктейль (жидкий) для рассады</x:v>
      </x:c>
      <x:c r="D333" s="9" t="str">
        <x:v>Средство для растений/почвы</x:v>
      </x:c>
      <x:c r="E333" s="9" t="str">
        <x:v>Розничный каталог</x:v>
      </x:c>
      <x:c r="F333" s="9" t="str">
        <x:v>C04</x:v>
      </x:c>
      <x:c r="G333" s="9" t="str">
        <x:v>Автолизат из морских обитателей с высоким содержанием протеина и аминокислот</x:v>
      </x:c>
      <x:c r="H333" s="9" t="str">
        <x:v>Есть сведения; см. ограничения</x:v>
      </x:c>
      <x:c r="I333" s="9" t="str">
        <x:v>Жидкость/концентрат</x:v>
      </x:c>
      <x:c r="J333" s="10" t="n">
        <x:v>2</x:v>
      </x:c>
      <x:c r="K333" s="9" t="str">
        <x:v>См. коды и ограничения на листе «Сопоставления»</x:v>
      </x:c>
      <x:c r="L333" s="9"/>
      <x:c r="M333" s="11" t="str">
        <x:v>https://organic-mix.ru/catalog/morskoy-kokteyl-zhidkiy-dlya-rassady-900-ml-sfr/</x:v>
      </x:c>
      <x:c r="N333" s="11"/>
    </x:row>
    <x:row r="334" ht="68" customHeight="1">
      <x:c r="A334" s="6" t="str">
        <x:v>P0329</x:v>
      </x:c>
      <x:c r="B334" s="6" t="str">
        <x:v>Органик Микс</x:v>
      </x:c>
      <x:c r="C334" s="6" t="str">
        <x:v>Морской коктейль (жидкий) для рассады (с приятным запахом)</x:v>
      </x:c>
      <x:c r="D334" s="6" t="str">
        <x:v>Средство для растений/почвы</x:v>
      </x:c>
      <x:c r="E334" s="6" t="str">
        <x:v>Розничный каталог</x:v>
      </x:c>
      <x:c r="F334" s="6" t="str">
        <x:v>C04</x:v>
      </x:c>
      <x:c r="G334" s="6" t="str">
        <x:v>Автолизат из морских обитателей с высоким содержанием протеина и аминокислот.</x:v>
      </x:c>
      <x:c r="H334" s="6" t="str">
        <x:v>Есть сведения; см. ограничения</x:v>
      </x:c>
      <x:c r="I334" s="6" t="str">
        <x:v>Жидкость/концентрат</x:v>
      </x:c>
      <x:c r="J334" s="12" t="n">
        <x:v>1</x:v>
      </x:c>
      <x:c r="K334" s="6" t="str">
        <x:v>См. коды и ограничения на листе «Сопоставления»</x:v>
      </x:c>
      <x:c r="L334" s="6"/>
      <x:c r="M334" s="13" t="str">
        <x:v>https://organic-mix.ru/catalog/morskoy-kokteyl-zhidkiy-dlya-rassady-250-ml-s-priyatnym-zapakhom/</x:v>
      </x:c>
      <x:c r="N334" s="13"/>
    </x:row>
    <x:row r="335" ht="68" customHeight="1">
      <x:c r="A335" s="9" t="str">
        <x:v>P0330</x:v>
      </x:c>
      <x:c r="B335" s="9" t="str">
        <x:v>Органик Микс</x:v>
      </x:c>
      <x:c r="C335" s="9" t="str">
        <x:v>Морской коктейль (жидкий) для Роз</x:v>
      </x:c>
      <x:c r="D335" s="9" t="str">
        <x:v>Средство для растений/почвы</x:v>
      </x:c>
      <x:c r="E335" s="9" t="str">
        <x:v>Розничный каталог</x:v>
      </x:c>
      <x:c r="F335" s="9" t="str">
        <x:v>C06</x:v>
      </x:c>
      <x:c r="G335" s="9" t="str">
        <x:v>Автолизат из морских обитателей с высоким содержанием протеина и аминокислот</x:v>
      </x:c>
      <x:c r="H335" s="9" t="str">
        <x:v>Есть сведения; см. ограничения</x:v>
      </x:c>
      <x:c r="I335" s="9" t="str">
        <x:v>Жидкость/концентрат</x:v>
      </x:c>
      <x:c r="J335" s="10" t="n">
        <x:v>3</x:v>
      </x:c>
      <x:c r="K335" s="9" t="str">
        <x:v>См. коды и ограничения на листе «Сопоставления»</x:v>
      </x:c>
      <x:c r="L335" s="9"/>
      <x:c r="M335" s="11" t="str">
        <x:v>https://organic-mix.ru/catalog/morskoy-kokteyl-zhidkiy-dlya-roz-450-ml/</x:v>
      </x:c>
      <x:c r="N335" s="11"/>
    </x:row>
    <x:row r="336" ht="68" customHeight="1">
      <x:c r="A336" s="6" t="str">
        <x:v>P0331</x:v>
      </x:c>
      <x:c r="B336" s="6" t="str">
        <x:v>Органик Микс</x:v>
      </x:c>
      <x:c r="C336" s="6" t="str">
        <x:v>Морской коктейль (жидкий) для Томатов</x:v>
      </x:c>
      <x:c r="D336" s="6" t="str">
        <x:v>Средство для растений/почвы</x:v>
      </x:c>
      <x:c r="E336" s="6" t="str">
        <x:v>Розничный каталог</x:v>
      </x:c>
      <x:c r="F336" s="6" t="str">
        <x:v>C02</x:v>
      </x:c>
      <x:c r="G336" s="6" t="str">
        <x:v>Автолизат из морских обитателей с высоким содержанием протеина и аминокислот.</x:v>
      </x:c>
      <x:c r="H336" s="6" t="str">
        <x:v>Есть сведения; см. ограничения</x:v>
      </x:c>
      <x:c r="I336" s="6" t="str">
        <x:v>Жидкость/концентрат</x:v>
      </x:c>
      <x:c r="J336" s="12" t="n">
        <x:v>3</x:v>
      </x:c>
      <x:c r="K336" s="6" t="str">
        <x:v>См. коды и ограничения на листе «Сопоставления»</x:v>
      </x:c>
      <x:c r="L336" s="6"/>
      <x:c r="M336" s="13" t="str">
        <x:v>https://organic-mix.ru/catalog/morskoy-kokteyl-zhidkiy-dlya-tomatov-5-l/</x:v>
      </x:c>
      <x:c r="N336" s="13"/>
    </x:row>
    <x:row r="337" ht="68" customHeight="1">
      <x:c r="A337" s="9" t="str">
        <x:v>P0332</x:v>
      </x:c>
      <x:c r="B337" s="9" t="str">
        <x:v>Органик Микс</x:v>
      </x:c>
      <x:c r="C337" s="9" t="str">
        <x:v>Морской коктейль (жидкий) для Туй</x:v>
      </x:c>
      <x:c r="D337" s="9" t="str">
        <x:v>Средство для растений/почвы</x:v>
      </x:c>
      <x:c r="E337" s="9" t="str">
        <x:v>Розничный каталог</x:v>
      </x:c>
      <x:c r="F337" s="9" t="str">
        <x:v>C09</x:v>
      </x:c>
      <x:c r="G337" s="9" t="str">
        <x:v>Автолизат из морских обитателей с высоким содержанием протеина и аминокислот.</x:v>
      </x:c>
      <x:c r="H337" s="9" t="str">
        <x:v>Есть сведения; см. ограничения</x:v>
      </x:c>
      <x:c r="I337" s="9" t="str">
        <x:v>Жидкость/концентрат</x:v>
      </x:c>
      <x:c r="J337" s="10" t="n">
        <x:v>3</x:v>
      </x:c>
      <x:c r="K337" s="9" t="str">
        <x:v>См. коды и ограничения на листе «Сопоставления»</x:v>
      </x:c>
      <x:c r="L337" s="9"/>
      <x:c r="M337" s="11" t="str">
        <x:v>https://organic-mix.ru/catalog/morskoy-kokteyl-zhidkiy-dlya-tuy-450-ml/</x:v>
      </x:c>
      <x:c r="N337" s="11"/>
    </x:row>
    <x:row r="338" ht="68" customHeight="1">
      <x:c r="A338" s="6" t="str">
        <x:v>P0333</x:v>
      </x:c>
      <x:c r="B338" s="6" t="str">
        <x:v>Органик Микс</x:v>
      </x:c>
      <x:c r="C338" s="6" t="str">
        <x:v>Морской коктейль (жидкий) для Хвойных</x:v>
      </x:c>
      <x:c r="D338" s="6" t="str">
        <x:v>Средство для растений/почвы</x:v>
      </x:c>
      <x:c r="E338" s="6" t="str">
        <x:v>Розничный каталог</x:v>
      </x:c>
      <x:c r="F338" s="6" t="str">
        <x:v>C09</x:v>
      </x:c>
      <x:c r="G338" s="6" t="str">
        <x:v>Автолизат из морских обитателей с высоким содержанием протеина и аминокислот</x:v>
      </x:c>
      <x:c r="H338" s="6" t="str">
        <x:v>Есть сведения; см. ограничения</x:v>
      </x:c>
      <x:c r="I338" s="6" t="str">
        <x:v>Жидкость/концентрат</x:v>
      </x:c>
      <x:c r="J338" s="12" t="n">
        <x:v>3</x:v>
      </x:c>
      <x:c r="K338" s="6" t="str">
        <x:v>См. коды и ограничения на листе «Сопоставления»</x:v>
      </x:c>
      <x:c r="L338" s="6"/>
      <x:c r="M338" s="13" t="str">
        <x:v>https://organic-mix.ru/catalog/morskoy-kokteyl-zhidkiy-dlya-khvoynykh-450-ml/</x:v>
      </x:c>
      <x:c r="N338" s="13"/>
    </x:row>
    <x:row r="339" ht="68" customHeight="1">
      <x:c r="A339" s="9" t="str">
        <x:v>P0334</x:v>
      </x:c>
      <x:c r="B339" s="9" t="str">
        <x:v>Органик Микс</x:v>
      </x:c>
      <x:c r="C339" s="9" t="str">
        <x:v>Морской коктейль (жидкий) для Цветов</x:v>
      </x:c>
      <x:c r="D339" s="9" t="str">
        <x:v>Средство для растений/почвы</x:v>
      </x:c>
      <x:c r="E339" s="9" t="str">
        <x:v>Розничный каталог</x:v>
      </x:c>
      <x:c r="F339" s="9" t="str">
        <x:v>C17</x:v>
      </x:c>
      <x:c r="G339" s="9" t="str">
        <x:v>Автолизат из морских обитателей с высоким содержанием протеина и аминокислот.</x:v>
      </x:c>
      <x:c r="H339" s="9" t="str">
        <x:v>Есть сведения; см. ограничения</x:v>
      </x:c>
      <x:c r="I339" s="9" t="str">
        <x:v>Жидкость/концентрат</x:v>
      </x:c>
      <x:c r="J339" s="10" t="n">
        <x:v>3</x:v>
      </x:c>
      <x:c r="K339" s="9" t="str">
        <x:v>См. коды и ограничения на листе «Сопоставления»</x:v>
      </x:c>
      <x:c r="L339" s="9"/>
      <x:c r="M339" s="11" t="str">
        <x:v>https://organic-mix.ru/catalog/morskoy-kokteyl-zhidkiy-dlya-tsvetov-450-ml/</x:v>
      </x:c>
      <x:c r="N339" s="11"/>
    </x:row>
    <x:row r="340" ht="68" customHeight="1">
      <x:c r="A340" s="6" t="str">
        <x:v>P0335</x:v>
      </x:c>
      <x:c r="B340" s="6" t="str">
        <x:v>Органик Микс</x:v>
      </x:c>
      <x:c r="C340" s="6" t="str">
        <x:v>Морской коктейль Гель для Комнатных растений</x:v>
      </x:c>
      <x:c r="D340" s="6" t="str">
        <x:v>Средство для растений/почвы</x:v>
      </x:c>
      <x:c r="E340" s="6" t="str">
        <x:v>Розничный каталог</x:v>
      </x:c>
      <x:c r="F340" s="6" t="str">
        <x:v>C11</x:v>
      </x:c>
      <x:c r="G340" s="6" t="str">
        <x:v>Экстракт из ферментированных овощей и гидролизованного зерна, молочная кислота, органические кислоты, аминокислотный комплекс морского происхождения, минеральный комплекс. NPK 6-4-6</x:v>
      </x:c>
      <x:c r="H340" s="6" t="str">
        <x:v>Есть сведения; см. ограничения</x:v>
      </x:c>
      <x:c r="I340" s="6" t="str">
        <x:v>Гель</x:v>
      </x:c>
      <x:c r="J340" s="12" t="n">
        <x:v>2</x:v>
      </x:c>
      <x:c r="K340" s="6" t="str">
        <x:v>См. коды и ограничения на листе «Сопоставления»</x:v>
      </x:c>
      <x:c r="L340" s="6"/>
      <x:c r="M340" s="13" t="str">
        <x:v>https://organic-mix.ru/catalog/morskoy-kokteyl-gel-dlya-komnatnykh-rasteniy-250-ml/</x:v>
      </x:c>
      <x:c r="N340" s="13"/>
    </x:row>
    <x:row r="341" ht="68" customHeight="1">
      <x:c r="A341" s="9" t="str">
        <x:v>P0336</x:v>
      </x:c>
      <x:c r="B341" s="9" t="str">
        <x:v>Органик Микс</x:v>
      </x:c>
      <x:c r="C341" s="9" t="str">
        <x:v>Морской коктейль Гель для Рассады</x:v>
      </x:c>
      <x:c r="D341" s="9" t="str">
        <x:v>Средство для растений/почвы</x:v>
      </x:c>
      <x:c r="E341" s="9" t="str">
        <x:v>Розничный каталог</x:v>
      </x:c>
      <x:c r="F341" s="9" t="str">
        <x:v>C04</x:v>
      </x:c>
      <x:c r="G341" s="9" t="str">
        <x:v>Экстракт из ферментированных овощей и гидролизованного зерна, молочная кислота, органические кислоты, аминокислотный комплекс морского происхождения, минеральный комплекс. NPK 6-4-3</x:v>
      </x:c>
      <x:c r="H341" s="9" t="str">
        <x:v>Есть сведения; см. ограничения</x:v>
      </x:c>
      <x:c r="I341" s="9" t="str">
        <x:v>Гель</x:v>
      </x:c>
      <x:c r="J341" s="10" t="n">
        <x:v>2</x:v>
      </x:c>
      <x:c r="K341" s="9" t="str">
        <x:v>См. коды и ограничения на листе «Сопоставления»</x:v>
      </x:c>
      <x:c r="L341" s="9"/>
      <x:c r="M341" s="11" t="str">
        <x:v>https://organic-mix.ru/catalog/morskoy-kokteyl-gel-dlya-rassady-450-ml/</x:v>
      </x:c>
      <x:c r="N341" s="11"/>
    </x:row>
    <x:row r="342" ht="82" customHeight="1">
      <x:c r="A342" s="6" t="str">
        <x:v>P0337</x:v>
      </x:c>
      <x:c r="B342" s="6" t="str">
        <x:v>Органик Микс</x:v>
      </x:c>
      <x:c r="C342" s="6" t="str">
        <x:v>Морской коктейль сухой Органик Микс</x:v>
      </x:c>
      <x:c r="D342" s="6" t="str">
        <x:v>Средство для растений/почвы</x:v>
      </x:c>
      <x:c r="E342" s="6" t="str">
        <x:v>Розничный каталог</x:v>
      </x:c>
      <x:c r="F342" s="6" t="str">
        <x:v>G24</x:v>
      </x:c>
      <x:c r="G342" s="6" t="str">
        <x:v>NPK: 5-20-0 100% мука из обитателей морского дна (моллюски, крабы, морские звёзды, ракушки, морские огурцы и т.д.) обезжиренная мелкого помола с повышенным содержанием питательных веществ N - 5%, P - 20%, Ca - 8%, Mg, S, Zn, Fe, B, Mo.</x:v>
      </x:c>
      <x:c r="H342" s="6" t="str">
        <x:v>Есть сведения; см. ограничения</x:v>
      </x:c>
      <x:c r="I342" s="6" t="str">
        <x:v>Сухой продукт</x:v>
      </x:c>
      <x:c r="J342" s="12" t="n">
        <x:v>5</x:v>
      </x:c>
      <x:c r="K342" s="6" t="str">
        <x:v>См. коды и ограничения на листе «Сопоставления»</x:v>
      </x:c>
      <x:c r="L342" s="6"/>
      <x:c r="M342" s="13" t="str">
        <x:v>https://organic-mix.ru/catalog/morskoy-kokteyl-sukhoy-7-kg-vedro-organik-miks/</x:v>
      </x:c>
      <x:c r="N342" s="13"/>
    </x:row>
    <x:row r="343" ht="68" customHeight="1">
      <x:c r="A343" s="9" t="str">
        <x:v>P0338</x:v>
      </x:c>
      <x:c r="B343" s="9" t="str">
        <x:v>Органик Микс</x:v>
      </x:c>
      <x:c r="C343" s="9" t="str">
        <x:v>Морской коктейль Тоник для Комнатных растений (СПРЕЙ)</x:v>
      </x:c>
      <x:c r="D343" s="9" t="str">
        <x:v>Средство для растений/почвы</x:v>
      </x:c>
      <x:c r="E343" s="9" t="str">
        <x:v>Розничный каталог</x:v>
      </x:c>
      <x:c r="F343" s="9" t="str">
        <x:v>C11</x:v>
      </x:c>
      <x:c r="G343" s="9" t="str">
        <x:v>Подготовленная вода, аминокислотный комплекс, микроэлементы в хелатной форме, функциональные добавки для повышения эффективности листового усвоения.</x:v>
      </x:c>
      <x:c r="H343" s="9" t="str">
        <x:v>Есть сведения; см. ограничения</x:v>
      </x:c>
      <x:c r="I343" s="9" t="str">
        <x:v>Готовый спрей</x:v>
      </x:c>
      <x:c r="J343" s="10" t="n">
        <x:v>1</x:v>
      </x:c>
      <x:c r="K343" s="9" t="str">
        <x:v>См. коды и ограничения на листе «Сопоставления»</x:v>
      </x:c>
      <x:c r="L343" s="9"/>
      <x:c r="M343" s="11" t="str">
        <x:v>https://organic-mix.ru/catalog/morskoy-kokteyl-tonik-dlya-komnatnykh-rasteniy-sprey-450-ml-/</x:v>
      </x:c>
      <x:c r="N343" s="11"/>
    </x:row>
    <x:row r="344" ht="68" customHeight="1">
      <x:c r="A344" s="6" t="str">
        <x:v>P0339</x:v>
      </x:c>
      <x:c r="B344" s="6" t="str">
        <x:v>Органик Микс</x:v>
      </x:c>
      <x:c r="C344" s="6" t="str">
        <x:v>Морской коктейль Тоник для Рассады (СПРЕЙ)</x:v>
      </x:c>
      <x:c r="D344" s="6" t="str">
        <x:v>Средство для растений/почвы</x:v>
      </x:c>
      <x:c r="E344" s="6" t="str">
        <x:v>Розничный каталог</x:v>
      </x:c>
      <x:c r="F344" s="6" t="str">
        <x:v>C04</x:v>
      </x:c>
      <x:c r="G344" s="6" t="str">
        <x:v>Подготовленная вода, аминокислотный комплекс, микроэлементы в хелатной форме, функциональные добавки для повышения эффективности листового усвоения.</x:v>
      </x:c>
      <x:c r="H344" s="6" t="str">
        <x:v>Есть сведения; см. ограничения</x:v>
      </x:c>
      <x:c r="I344" s="6" t="str">
        <x:v>Готовый спрей</x:v>
      </x:c>
      <x:c r="J344" s="12" t="n">
        <x:v>1</x:v>
      </x:c>
      <x:c r="K344" s="6" t="str">
        <x:v>См. коды и ограничения на листе «Сопоставления»</x:v>
      </x:c>
      <x:c r="L344" s="6"/>
      <x:c r="M344" s="13" t="str">
        <x:v>https://organic-mix.ru/catalog/morskoy-kokteyl-tonik-dlya-rassady-sprey-450-ml/</x:v>
      </x:c>
      <x:c r="N344" s="13"/>
    </x:row>
    <x:row r="345" ht="68" customHeight="1">
      <x:c r="A345" s="9" t="str">
        <x:v>P0340</x:v>
      </x:c>
      <x:c r="B345" s="9" t="str">
        <x:v>Органик Микс</x:v>
      </x:c>
      <x:c r="C345" s="9" t="str">
        <x:v>МОШКАГОН – от грибных комариков</x:v>
      </x:c>
      <x:c r="D345" s="9" t="str">
        <x:v>Средство для растений/почвы</x:v>
      </x:c>
      <x:c r="E345" s="9" t="str">
        <x:v>Розничный каталог</x:v>
      </x:c>
      <x:c r="F345" s="9" t="str">
        <x:v>—</x:v>
      </x:c>
      <x:c r="G345" s="9" t="str">
        <x:v>100% натуральные растительные экстракты</x:v>
      </x:c>
      <x:c r="H345" s="9" t="str">
        <x:v>Есть сведения; см. ограничения</x:v>
      </x:c>
      <x:c r="I345" s="9" t="str">
        <x:v>См. карточку</x:v>
      </x:c>
      <x:c r="J345" s="10" t="n">
        <x:v>2</x:v>
      </x:c>
      <x:c r="K345" s="9" t="str">
        <x:v>Близкий аналог не подтвержден</x:v>
      </x:c>
      <x:c r="L345" s="9"/>
      <x:c r="M345" s="11" t="str">
        <x:v>https://organic-mix.ru/catalog/moshkagon-ot-gribnykh-komarikov-100-ml/</x:v>
      </x:c>
      <x:c r="N345" s="11"/>
    </x:row>
    <x:row r="346" ht="68" customHeight="1">
      <x:c r="A346" s="6" t="str">
        <x:v>P0341</x:v>
      </x:c>
      <x:c r="B346" s="6" t="str">
        <x:v>Органик Микс</x:v>
      </x:c>
      <x:c r="C346" s="6" t="str">
        <x:v>Мука из водорослей</x:v>
      </x:c>
      <x:c r="D346" s="6" t="str">
        <x:v>Средство для растений/почвы</x:v>
      </x:c>
      <x:c r="E346" s="6" t="str">
        <x:v>Розничный каталог</x:v>
      </x:c>
      <x:c r="F346" s="6" t="str">
        <x:v>G25</x:v>
      </x:c>
      <x:c r="G346" s="6" t="str">
        <x:v>NPK: 2-1-2 100% морские водоросли из Белого моря молотые N- 2%, P - 1%, K - 2%, Ca, Mg, S, Zn, Fe, B, Mo, I, Se, Si, полисахариды, альгиновые кислоты, аминокислоты, бетаин, витамины B, PP</x:v>
      </x:c>
      <x:c r="H346" s="6" t="str">
        <x:v>Есть сведения; см. ограничения</x:v>
      </x:c>
      <x:c r="I346" s="6" t="str">
        <x:v>Сухой продукт</x:v>
      </x:c>
      <x:c r="J346" s="12" t="n">
        <x:v>2</x:v>
      </x:c>
      <x:c r="K346" s="6" t="str">
        <x:v>См. коды и ограничения на листе «Сопоставления»</x:v>
      </x:c>
      <x:c r="L346" s="6"/>
      <x:c r="M346" s="13" t="str">
        <x:v>https://organic-mix.ru/catalog/muka-iz-vodorosley-organik-miks-850-gr/</x:v>
      </x:c>
      <x:c r="N346" s="13"/>
    </x:row>
    <x:row r="347" ht="68" customHeight="1">
      <x:c r="A347" s="9" t="str">
        <x:v>P0342</x:v>
      </x:c>
      <x:c r="B347" s="9" t="str">
        <x:v>Органик Микс</x:v>
      </x:c>
      <x:c r="C347" s="9" t="str">
        <x:v>МУЧНИСТОП (СПРЕЙ) - от Мучнистой росы Органик Микс</x:v>
      </x:c>
      <x:c r="D347" s="9" t="str">
        <x:v>Средство для растений/почвы</x:v>
      </x:c>
      <x:c r="E347" s="9" t="str">
        <x:v>Розничный каталог</x:v>
      </x:c>
      <x:c r="F347" s="9" t="str">
        <x:v>G30</x:v>
      </x:c>
      <x:c r="G347" s="9" t="str">
        <x:v>Минерально-адаптивная композиция с поверхностно-активными компонентами*. *Компоненты, входящие в состав, одобрены для органического земледелия.</x:v>
      </x:c>
      <x:c r="H347" s="9" t="str">
        <x:v>Есть сведения; см. ограничения</x:v>
      </x:c>
      <x:c r="I347" s="9" t="str">
        <x:v>Готовый спрей</x:v>
      </x:c>
      <x:c r="J347" s="10" t="n">
        <x:v>1</x:v>
      </x:c>
      <x:c r="K347" s="9" t="str">
        <x:v>См. коды и ограничения на листе «Сопоставления»</x:v>
      </x:c>
      <x:c r="L347" s="9"/>
      <x:c r="M347" s="11" t="str">
        <x:v>https://organic-mix.ru/catalog/muchnistop-sprey-ot-muchnistoy-rosy-1-l-organik-miks/</x:v>
      </x:c>
      <x:c r="N347" s="11"/>
    </x:row>
    <x:row r="348" ht="68" customHeight="1">
      <x:c r="A348" s="6" t="str">
        <x:v>P0343</x:v>
      </x:c>
      <x:c r="B348" s="6" t="str">
        <x:v>Органик Микс</x:v>
      </x:c>
      <x:c r="C348" s="6" t="str">
        <x:v>Органический адсорбент для почвы ДЕТОКСЕР</x:v>
      </x:c>
      <x:c r="D348" s="6" t="str">
        <x:v>Средство для растений/почвы</x:v>
      </x:c>
      <x:c r="E348" s="6" t="str">
        <x:v>Розничный каталог</x:v>
      </x:c>
      <x:c r="F348" s="6" t="str">
        <x:v>G36</x:v>
      </x:c>
      <x:c r="G348" s="6" t="str">
        <x:v>100% натуральные высокоактивные адсорбирующие компоненты природного происхождения.</x:v>
      </x:c>
      <x:c r="H348" s="6" t="str">
        <x:v>Есть сведения; см. ограничения</x:v>
      </x:c>
      <x:c r="I348" s="6" t="str">
        <x:v>См. карточку</x:v>
      </x:c>
      <x:c r="J348" s="12" t="n">
        <x:v>5</x:v>
      </x:c>
      <x:c r="K348" s="6" t="str">
        <x:v>См. коды и ограничения на листе «Сопоставления»</x:v>
      </x:c>
      <x:c r="L348" s="6"/>
      <x:c r="M348" s="13" t="str">
        <x:v>https://organic-mix.ru/catalog/detokser-240-gr-organik-miks/</x:v>
      </x:c>
      <x:c r="N348" s="13"/>
    </x:row>
    <x:row r="349" ht="68" customHeight="1">
      <x:c r="A349" s="9" t="str">
        <x:v>P0344</x:v>
      </x:c>
      <x:c r="B349" s="9" t="str">
        <x:v>Органик Микс</x:v>
      </x:c>
      <x:c r="C349" s="9" t="str">
        <x:v>Органический стимулятор иммунитета БиоТонус</x:v>
      </x:c>
      <x:c r="D349" s="9" t="str">
        <x:v>Средство для растений/почвы</x:v>
      </x:c>
      <x:c r="E349" s="9" t="str">
        <x:v>Розничный каталог</x:v>
      </x:c>
      <x:c r="F349" s="9" t="str">
        <x:v>G25; G41</x:v>
      </x:c>
      <x:c r="G349" s="9" t="str">
        <x:v>На основе растительных экстрактов морских водорослей</x:v>
      </x:c>
      <x:c r="H349" s="9" t="str">
        <x:v>Есть сведения; см. ограничения</x:v>
      </x:c>
      <x:c r="I349" s="9" t="str">
        <x:v>См. карточку</x:v>
      </x:c>
      <x:c r="J349" s="10" t="n">
        <x:v>11</x:v>
      </x:c>
      <x:c r="K349" s="9" t="str">
        <x:v>См. коды и ограничения на листе «Сопоставления»</x:v>
      </x:c>
      <x:c r="L349" s="9"/>
      <x:c r="M349" s="11" t="str">
        <x:v>https://organic-mix.ru/catalog/biotonus-banochka-50-gr-organik-miks/</x:v>
      </x:c>
      <x:c r="N349" s="11"/>
    </x:row>
    <x:row r="350" ht="68" customHeight="1">
      <x:c r="A350" s="6" t="str">
        <x:v>P0345</x:v>
      </x:c>
      <x:c r="B350" s="6" t="str">
        <x:v>Органик Микс</x:v>
      </x:c>
      <x:c r="C350" s="6" t="str">
        <x:v>Органический стимулятор роста АминоРост</x:v>
      </x:c>
      <x:c r="D350" s="6" t="str">
        <x:v>Средство для растений/почвы</x:v>
      </x:c>
      <x:c r="E350" s="6" t="str">
        <x:v>Розничный каталог</x:v>
      </x:c>
      <x:c r="F350" s="6" t="str">
        <x:v>G01; G41</x:v>
      </x:c>
      <x:c r="G350" s="6" t="str">
        <x:v>Растительные экстракты глубокой переработки</x:v>
      </x:c>
      <x:c r="H350" s="6" t="str">
        <x:v>Есть сведения; см. ограничения</x:v>
      </x:c>
      <x:c r="I350" s="6" t="str">
        <x:v>См. карточку</x:v>
      </x:c>
      <x:c r="J350" s="12" t="n">
        <x:v>13</x:v>
      </x:c>
      <x:c r="K350" s="6" t="str">
        <x:v>См. коды и ограничения на листе «Сопоставления»</x:v>
      </x:c>
      <x:c r="L350" s="6"/>
      <x:c r="M350" s="13" t="str">
        <x:v>https://organic-mix.ru/catalog/aminorost-banochka-30-gr-organik-miks/</x:v>
      </x:c>
      <x:c r="N350" s="13"/>
    </x:row>
    <x:row r="351" ht="68" customHeight="1">
      <x:c r="A351" s="9" t="str">
        <x:v>P0346</x:v>
      </x:c>
      <x:c r="B351" s="9" t="str">
        <x:v>Органик Микс</x:v>
      </x:c>
      <x:c r="C351" s="9" t="str">
        <x:v>Органический укоренитель БиоКорень</x:v>
      </x:c>
      <x:c r="D351" s="9" t="str">
        <x:v>Средство для растений/почвы</x:v>
      </x:c>
      <x:c r="E351" s="9" t="str">
        <x:v>Розничный каталог</x:v>
      </x:c>
      <x:c r="F351" s="9" t="str">
        <x:v>G10</x:v>
      </x:c>
      <x:c r="G351" s="9" t="str">
        <x:v>На основе растительных экстрактов морских водорослей</x:v>
      </x:c>
      <x:c r="H351" s="9" t="str">
        <x:v>Есть сведения; см. ограничения</x:v>
      </x:c>
      <x:c r="I351" s="9" t="str">
        <x:v>См. карточку</x:v>
      </x:c>
      <x:c r="J351" s="10" t="n">
        <x:v>11</x:v>
      </x:c>
      <x:c r="K351" s="9" t="str">
        <x:v>См. коды и ограничения на листе «Сопоставления»</x:v>
      </x:c>
      <x:c r="L351" s="9"/>
      <x:c r="M351" s="11" t="str">
        <x:v>https://organic-mix.ru/catalog/biokoren-banochka-50-gr-organik-miks/</x:v>
      </x:c>
      <x:c r="N351" s="11"/>
    </x:row>
    <x:row r="352" ht="68" customHeight="1">
      <x:c r="A352" s="6" t="str">
        <x:v>P0347</x:v>
      </x:c>
      <x:c r="B352" s="6" t="str">
        <x:v>Органик Микс</x:v>
      </x:c>
      <x:c r="C352" s="6" t="str">
        <x:v>ПОЧВОЧИСТ</x:v>
      </x:c>
      <x:c r="D352" s="6" t="str">
        <x:v>Средство для растений/почвы</x:v>
      </x:c>
      <x:c r="E352" s="6" t="str">
        <x:v>Розничный каталог</x:v>
      </x:c>
      <x:c r="F352" s="6" t="str">
        <x:v>G14</x:v>
      </x:c>
      <x:c r="G352" s="6" t="str">
        <x:v>жмых махуа индийской, жмых каранджи, жмых семян нима, жмых кастора.</x:v>
      </x:c>
      <x:c r="H352" s="6" t="str">
        <x:v>Есть сведения; см. ограничения</x:v>
      </x:c>
      <x:c r="I352" s="6" t="str">
        <x:v>См. карточку</x:v>
      </x:c>
      <x:c r="J352" s="12" t="n">
        <x:v>4</x:v>
      </x:c>
      <x:c r="K352" s="6" t="str">
        <x:v>См. коды и ограничения на листе «Сопоставления»</x:v>
      </x:c>
      <x:c r="L352" s="6"/>
      <x:c r="M352" s="13" t="str">
        <x:v>https://organic-mix.ru/catalog/pochvochist-850-g/</x:v>
      </x:c>
      <x:c r="N352" s="13"/>
    </x:row>
    <x:row r="353" ht="68" customHeight="1">
      <x:c r="A353" s="9" t="str">
        <x:v>P0348</x:v>
      </x:c>
      <x:c r="B353" s="9" t="str">
        <x:v>Органик Микс</x:v>
      </x:c>
      <x:c r="C353" s="9" t="str">
        <x:v>ПОЧВОЧИСТ для комнатных растений - от почвенных стадий вредителей для пролива</x:v>
      </x:c>
      <x:c r="D353" s="9" t="str">
        <x:v>Средство для растений/почвы</x:v>
      </x:c>
      <x:c r="E353" s="9" t="str">
        <x:v>Розничный каталог</x:v>
      </x:c>
      <x:c r="F353" s="9" t="str">
        <x:v>—</x:v>
      </x:c>
      <x:c r="G353" s="9" t="str">
        <x:v>100% натуральные растительные экстракты</x:v>
      </x:c>
      <x:c r="H353" s="9" t="str">
        <x:v>Есть сведения; см. ограничения</x:v>
      </x:c>
      <x:c r="I353" s="9" t="str">
        <x:v>См. карточку</x:v>
      </x:c>
      <x:c r="J353" s="10" t="n">
        <x:v>1</x:v>
      </x:c>
      <x:c r="K353" s="9" t="str">
        <x:v>Близкий аналог не подтвержден</x:v>
      </x:c>
      <x:c r="L353" s="9"/>
      <x:c r="M353" s="11" t="str">
        <x:v>https://organic-mix.ru/catalog/pochvochist-dlya-komnatnykh-rasteniy-10-ml/</x:v>
      </x:c>
      <x:c r="N353" s="11"/>
    </x:row>
    <x:row r="354" ht="68" customHeight="1">
      <x:c r="A354" s="6" t="str">
        <x:v>P0349</x:v>
      </x:c>
      <x:c r="B354" s="6" t="str">
        <x:v>Органик Микс</x:v>
      </x:c>
      <x:c r="C354" s="6" t="str">
        <x:v>ПОЧВОЧИСТ для рассады - от почвенных стадий вредителей для пролива</x:v>
      </x:c>
      <x:c r="D354" s="6" t="str">
        <x:v>Средство для растений/почвы</x:v>
      </x:c>
      <x:c r="E354" s="6" t="str">
        <x:v>Розничный каталог</x:v>
      </x:c>
      <x:c r="F354" s="6" t="str">
        <x:v>—</x:v>
      </x:c>
      <x:c r="G354" s="6" t="str">
        <x:v>100% натуральные растительные экстракты</x:v>
      </x:c>
      <x:c r="H354" s="6" t="str">
        <x:v>Есть сведения; см. ограничения</x:v>
      </x:c>
      <x:c r="I354" s="6" t="str">
        <x:v>См. карточку</x:v>
      </x:c>
      <x:c r="J354" s="12" t="n">
        <x:v>1</x:v>
      </x:c>
      <x:c r="K354" s="6" t="str">
        <x:v>Близкий аналог не подтвержден</x:v>
      </x:c>
      <x:c r="L354" s="6"/>
      <x:c r="M354" s="13" t="str">
        <x:v>https://organic-mix.ru/catalog/pochvochist-dlya-rassady-10-ml/</x:v>
      </x:c>
      <x:c r="N354" s="13"/>
    </x:row>
    <x:row r="355" ht="68" customHeight="1">
      <x:c r="A355" s="9" t="str">
        <x:v>P0350</x:v>
      </x:c>
      <x:c r="B355" s="9" t="str">
        <x:v>Органик Микс</x:v>
      </x:c>
      <x:c r="C355" s="9" t="str">
        <x:v>ПОЧВОЧИСТ для теплиц - для полива</x:v>
      </x:c>
      <x:c r="D355" s="9" t="str">
        <x:v>Средство для растений/почвы</x:v>
      </x:c>
      <x:c r="E355" s="9" t="str">
        <x:v>Розничный каталог</x:v>
      </x:c>
      <x:c r="F355" s="9" t="str">
        <x:v>—</x:v>
      </x:c>
      <x:c r="G355" s="9" t="str">
        <x:v>100% натуральные растительные экстракты</x:v>
      </x:c>
      <x:c r="H355" s="9" t="str">
        <x:v>Есть сведения; см. ограничения</x:v>
      </x:c>
      <x:c r="I355" s="9" t="str">
        <x:v>См. карточку</x:v>
      </x:c>
      <x:c r="J355" s="10" t="n">
        <x:v>2</x:v>
      </x:c>
      <x:c r="K355" s="9" t="str">
        <x:v>Близкий аналог не подтвержден</x:v>
      </x:c>
      <x:c r="L355" s="9"/>
      <x:c r="M355" s="11" t="str">
        <x:v>https://organic-mix.ru/catalog/pochvochist-dlya-teplits-dlya-poliva-150-ml/</x:v>
      </x:c>
      <x:c r="N355" s="11"/>
    </x:row>
    <x:row r="356" ht="68" customHeight="1">
      <x:c r="A356" s="6" t="str">
        <x:v>P0351</x:v>
      </x:c>
      <x:c r="B356" s="6" t="str">
        <x:v>Органик Микс</x:v>
      </x:c>
      <x:c r="C356" s="6" t="str">
        <x:v>ПОЧВОЧИСТ палочки для Комнатных растений</x:v>
      </x:c>
      <x:c r="D356" s="6" t="str">
        <x:v>Средство для растений/почвы</x:v>
      </x:c>
      <x:c r="E356" s="6" t="str">
        <x:v>Розничный каталог</x:v>
      </x:c>
      <x:c r="F356" s="6" t="str">
        <x:v>G14</x:v>
      </x:c>
      <x:c r="G356" s="6" t="str">
        <x:v>Жмых семян нима, жмых каранджи, жмых кастора, жмых махуа индийской.</x:v>
      </x:c>
      <x:c r="H356" s="6" t="str">
        <x:v>Есть сведения; см. ограничения</x:v>
      </x:c>
      <x:c r="I356" s="6" t="str">
        <x:v>Гранулы/колышки/палочки</x:v>
      </x:c>
      <x:c r="J356" s="12" t="n">
        <x:v>1</x:v>
      </x:c>
      <x:c r="K356" s="6" t="str">
        <x:v>См. коды и ограничения на листе «Сопоставления»</x:v>
      </x:c>
      <x:c r="L356" s="6"/>
      <x:c r="M356" s="13" t="str">
        <x:v>https://organic-mix.ru/catalog/pochvochist-palochki-dlya-komnatnykh-rasteniy-150-gr-organik-miks/</x:v>
      </x:c>
      <x:c r="N356" s="13"/>
    </x:row>
    <x:row r="357" ht="68" customHeight="1">
      <x:c r="A357" s="9" t="str">
        <x:v>P0352</x:v>
      </x:c>
      <x:c r="B357" s="9" t="str">
        <x:v>Органик Микс</x:v>
      </x:c>
      <x:c r="C357" s="9" t="str">
        <x:v>ПОЧВОЧИСТ палочки для Рассады</x:v>
      </x:c>
      <x:c r="D357" s="9" t="str">
        <x:v>Средство для растений/почвы</x:v>
      </x:c>
      <x:c r="E357" s="9" t="str">
        <x:v>Розничный каталог</x:v>
      </x:c>
      <x:c r="F357" s="9" t="str">
        <x:v>G14</x:v>
      </x:c>
      <x:c r="G357" s="9" t="str">
        <x:v>Жмых семян нима, жмых каранджи, жмых кастора, жмых махуа индийской.</x:v>
      </x:c>
      <x:c r="H357" s="9" t="str">
        <x:v>Есть сведения; см. ограничения</x:v>
      </x:c>
      <x:c r="I357" s="9" t="str">
        <x:v>Гранулы/колышки/палочки</x:v>
      </x:c>
      <x:c r="J357" s="10" t="n">
        <x:v>1</x:v>
      </x:c>
      <x:c r="K357" s="9" t="str">
        <x:v>См. коды и ограничения на листе «Сопоставления»</x:v>
      </x:c>
      <x:c r="L357" s="9"/>
      <x:c r="M357" s="11" t="str">
        <x:v>https://organic-mix.ru/catalog/pochvochist-palochki-dlya-rassady-150-gr-organik-miks/</x:v>
      </x:c>
      <x:c r="N357" s="11"/>
    </x:row>
    <x:row r="358" ht="68" customHeight="1">
      <x:c r="A358" s="6" t="str">
        <x:v>P0353</x:v>
      </x:c>
      <x:c r="B358" s="6" t="str">
        <x:v>Органик Микс</x:v>
      </x:c>
      <x:c r="C358" s="6" t="str">
        <x:v>ПОЧВОЧИСТ универсальный - от почвенных стадий вредителей для пролива</x:v>
      </x:c>
      <x:c r="D358" s="6" t="str">
        <x:v>Средство для растений/почвы</x:v>
      </x:c>
      <x:c r="E358" s="6" t="str">
        <x:v>Розничный каталог</x:v>
      </x:c>
      <x:c r="F358" s="6" t="str">
        <x:v>—</x:v>
      </x:c>
      <x:c r="G358" s="6" t="str">
        <x:v>100% натуральные растительные экстракты</x:v>
      </x:c>
      <x:c r="H358" s="6" t="str">
        <x:v>Есть сведения; см. ограничения</x:v>
      </x:c>
      <x:c r="I358" s="6" t="str">
        <x:v>См. карточку</x:v>
      </x:c>
      <x:c r="J358" s="12" t="n">
        <x:v>2</x:v>
      </x:c>
      <x:c r="K358" s="6" t="str">
        <x:v>Близкий аналог не подтвержден</x:v>
      </x:c>
      <x:c r="L358" s="6"/>
      <x:c r="M358" s="13" t="str">
        <x:v>https://organic-mix.ru/catalog/pochvochist-universalnyy-30-ml/</x:v>
      </x:c>
      <x:c r="N358" s="13"/>
    </x:row>
    <x:row r="359" ht="68" customHeight="1">
      <x:c r="A359" s="9" t="str">
        <x:v>P0354</x:v>
      </x:c>
      <x:c r="B359" s="9" t="str">
        <x:v>Органик Микс</x:v>
      </x:c>
      <x:c r="C359" s="9" t="str">
        <x:v>ПРИЛИПАЙКА - органический прилипатель-растекатель</x:v>
      </x:c>
      <x:c r="D359" s="9" t="str">
        <x:v>Средство для растений/почвы</x:v>
      </x:c>
      <x:c r="E359" s="9" t="str">
        <x:v>Розничный каталог</x:v>
      </x:c>
      <x:c r="F359" s="9" t="str">
        <x:v>G29</x:v>
      </x:c>
      <x:c r="G359" s="9" t="str">
        <x:v>На основе комплекса природных сурфактантов и полисахаридов</x:v>
      </x:c>
      <x:c r="H359" s="9" t="str">
        <x:v>Есть сведения; см. ограничения</x:v>
      </x:c>
      <x:c r="I359" s="9" t="str">
        <x:v>См. карточку</x:v>
      </x:c>
      <x:c r="J359" s="10" t="n">
        <x:v>1</x:v>
      </x:c>
      <x:c r="K359" s="9" t="str">
        <x:v>См. коды и ограничения на листе «Сопоставления»</x:v>
      </x:c>
      <x:c r="L359" s="9"/>
      <x:c r="M359" s="11" t="str">
        <x:v>https://organic-mix.ru/catalog/prilipayka-organicheskiy-prilipatel-100-ml/</x:v>
      </x:c>
      <x:c r="N359" s="11"/>
    </x:row>
    <x:row r="360" ht="68" customHeight="1">
      <x:c r="A360" s="6" t="str">
        <x:v>P0355</x:v>
      </x:c>
      <x:c r="B360" s="6" t="str">
        <x:v>Органик Микс</x:v>
      </x:c>
      <x:c r="C360" s="6" t="str">
        <x:v>ПРИЛИПАЙКА в ампуле - органический биоприлипатель-растекатель</x:v>
      </x:c>
      <x:c r="D360" s="6" t="str">
        <x:v>Средство для растений/почвы</x:v>
      </x:c>
      <x:c r="E360" s="6" t="str">
        <x:v>Розничный каталог</x:v>
      </x:c>
      <x:c r="F360" s="6" t="str">
        <x:v>G29</x:v>
      </x:c>
      <x:c r="G360" s="6" t="str">
        <x:v>На основе комплекса природных сурфактантов и полисахаридов</x:v>
      </x:c>
      <x:c r="H360" s="6" t="str">
        <x:v>Есть сведения; см. ограничения</x:v>
      </x:c>
      <x:c r="I360" s="6" t="str">
        <x:v>См. карточку</x:v>
      </x:c>
      <x:c r="J360" s="12" t="n">
        <x:v>1</x:v>
      </x:c>
      <x:c r="K360" s="6" t="str">
        <x:v>См. коды и ограничения на листе «Сопоставления»</x:v>
      </x:c>
      <x:c r="L360" s="6"/>
      <x:c r="M360" s="13" t="str">
        <x:v>https://organic-mix.ru/catalog/prilipayka-v-ampule-organicheskiy-bioprilipatel-rastekatel-1-ml/</x:v>
      </x:c>
      <x:c r="N360" s="13"/>
    </x:row>
    <x:row r="361" ht="68" customHeight="1">
      <x:c r="A361" s="9" t="str">
        <x:v>P0356</x:v>
      </x:c>
      <x:c r="B361" s="9" t="str">
        <x:v>Органик Микс</x:v>
      </x:c>
      <x:c r="C361" s="9" t="str">
        <x:v>Разрыхлин Органик Микс</x:v>
      </x:c>
      <x:c r="D361" s="9" t="str">
        <x:v>Средство для растений/почвы</x:v>
      </x:c>
      <x:c r="E361" s="9" t="str">
        <x:v>Розничный каталог</x:v>
      </x:c>
      <x:c r="F361" s="9" t="str">
        <x:v>G36</x:v>
      </x:c>
      <x:c r="G361" s="9" t="str">
        <x:v>Вулканическая порода</x:v>
      </x:c>
      <x:c r="H361" s="9" t="str">
        <x:v>Есть сведения; см. ограничения</x:v>
      </x:c>
      <x:c r="I361" s="9" t="str">
        <x:v>См. карточку</x:v>
      </x:c>
      <x:c r="J361" s="10" t="n">
        <x:v>4</x:v>
      </x:c>
      <x:c r="K361" s="9" t="str">
        <x:v>См. коды и ограничения на листе «Сопоставления»</x:v>
      </x:c>
      <x:c r="L361" s="9"/>
      <x:c r="M361" s="11" t="str">
        <x:v>https://organic-mix.ru/catalog/razrykhlin-10-l-organik-miks-vedro-/</x:v>
      </x:c>
      <x:c r="N361" s="11"/>
    </x:row>
    <x:row r="362" ht="68" customHeight="1">
      <x:c r="A362" s="6" t="str">
        <x:v>P0357</x:v>
      </x:c>
      <x:c r="B362" s="6" t="str">
        <x:v>Органик Микс</x:v>
      </x:c>
      <x:c r="C362" s="6" t="str">
        <x:v>Репеллент-отпугиватель от МЕДВЕДКИ Органик Микс</x:v>
      </x:c>
      <x:c r="D362" s="6" t="str">
        <x:v>Средство для растений/почвы</x:v>
      </x:c>
      <x:c r="E362" s="6" t="str">
        <x:v>Розничный каталог</x:v>
      </x:c>
      <x:c r="F362" s="6" t="str">
        <x:v>—</x:v>
      </x:c>
      <x:c r="G362" s="6" t="str">
        <x:v>Биополимерные гранулы на основе растительных компонентов, обогащенные комплексом натуральных растительных масел индийского происхождения.</x:v>
      </x:c>
      <x:c r="H362" s="6" t="str">
        <x:v>Есть сведения; см. ограничения</x:v>
      </x:c>
      <x:c r="I362" s="6" t="str">
        <x:v>См. карточку</x:v>
      </x:c>
      <x:c r="J362" s="12" t="n">
        <x:v>1</x:v>
      </x:c>
      <x:c r="K362" s="6" t="str">
        <x:v>Близкий аналог не подтвержден</x:v>
      </x:c>
      <x:c r="L362" s="6"/>
      <x:c r="M362" s="13" t="str">
        <x:v>https://organic-mix.ru/catalog/repellent-otpugivatel-ot-medvedki-450-gr-organik-miks-/</x:v>
      </x:c>
      <x:c r="N362" s="13"/>
    </x:row>
    <x:row r="363" ht="68" customHeight="1">
      <x:c r="A363" s="9" t="str">
        <x:v>P0358</x:v>
      </x:c>
      <x:c r="B363" s="9" t="str">
        <x:v>Органик Микс</x:v>
      </x:c>
      <x:c r="C363" s="9" t="str">
        <x:v>Рогокопытный шрот</x:v>
      </x:c>
      <x:c r="D363" s="9" t="str">
        <x:v>Средство для растений/почвы</x:v>
      </x:c>
      <x:c r="E363" s="9" t="str">
        <x:v>Розничный каталог</x:v>
      </x:c>
      <x:c r="F363" s="9" t="str">
        <x:v>G26</x:v>
      </x:c>
      <x:c r="G363" s="9" t="str">
        <x:v>NPK: 14-0-0 100% рогокопытный шрот из отборного сырья с повышенным содержанием азота N-14%, Si</x:v>
      </x:c>
      <x:c r="H363" s="9" t="str">
        <x:v>Есть сведения; см. ограничения</x:v>
      </x:c>
      <x:c r="I363" s="9" t="str">
        <x:v>Сухой продукт</x:v>
      </x:c>
      <x:c r="J363" s="10" t="n">
        <x:v>1</x:v>
      </x:c>
      <x:c r="K363" s="9" t="str">
        <x:v>См. коды и ограничения на листе «Сопоставления»</x:v>
      </x:c>
      <x:c r="L363" s="9"/>
      <x:c r="M363" s="11" t="str">
        <x:v>https://organic-mix.ru/catalog/rogokopytnyy-shrot/</x:v>
      </x:c>
      <x:c r="N363" s="11"/>
    </x:row>
    <x:row r="364" ht="68" customHeight="1">
      <x:c r="A364" s="6" t="str">
        <x:v>P0359</x:v>
      </x:c>
      <x:c r="B364" s="6" t="str">
        <x:v>Органик Микс</x:v>
      </x:c>
      <x:c r="C364" s="6" t="str">
        <x:v>Рыбная мука</x:v>
      </x:c>
      <x:c r="D364" s="6" t="str">
        <x:v>Средство для растений/почвы</x:v>
      </x:c>
      <x:c r="E364" s="6" t="str">
        <x:v>Розничный каталог</x:v>
      </x:c>
      <x:c r="F364" s="6" t="str">
        <x:v>G03</x:v>
      </x:c>
      <x:c r="G364" s="6" t="str">
        <x:v>NPK: 7-7-0 100% рыбная мука обезжиренная мелкого помола из отборного сырья с повышенным содержанием питательных веществ. N-7%, P-7%, K-0%, Ca-8%</x:v>
      </x:c>
      <x:c r="H364" s="6" t="str">
        <x:v>Есть сведения; см. ограничения</x:v>
      </x:c>
      <x:c r="I364" s="6" t="str">
        <x:v>Сухой продукт</x:v>
      </x:c>
      <x:c r="J364" s="12" t="n">
        <x:v>3</x:v>
      </x:c>
      <x:c r="K364" s="6" t="str">
        <x:v>См. коды и ограничения на листе «Сопоставления»</x:v>
      </x:c>
      <x:c r="L364" s="6"/>
      <x:c r="M364" s="13" t="str">
        <x:v>https://organic-mix.ru/catalog/rybnaya-muka/</x:v>
      </x:c>
      <x:c r="N364" s="13"/>
    </x:row>
    <x:row r="365" ht="68" customHeight="1">
      <x:c r="A365" s="9" t="str">
        <x:v>P0360</x:v>
      </x:c>
      <x:c r="B365" s="9" t="str">
        <x:v>Органик Микс</x:v>
      </x:c>
      <x:c r="C365" s="9" t="str">
        <x:v>СТОПСЛИЗНЯК - от слизней</x:v>
      </x:c>
      <x:c r="D365" s="9" t="str">
        <x:v>Средство для растений/почвы</x:v>
      </x:c>
      <x:c r="E365" s="9" t="str">
        <x:v>Розничный каталог</x:v>
      </x:c>
      <x:c r="F365" s="9" t="str">
        <x:v>G31</x:v>
      </x:c>
      <x:c r="G365" s="9" t="str">
        <x:v>Компоненты растительного происхождения, пищевой аттрактант, эукариотические микроорганизмы Saccharomyces cerevisiae, соли 3-х валентного железа.</x:v>
      </x:c>
      <x:c r="H365" s="9" t="str">
        <x:v>Есть сведения; см. ограничения</x:v>
      </x:c>
      <x:c r="I365" s="9" t="str">
        <x:v>См. карточку</x:v>
      </x:c>
      <x:c r="J365" s="10" t="n">
        <x:v>4</x:v>
      </x:c>
      <x:c r="K365" s="9" t="str">
        <x:v>См. коды и ограничения на листе «Сопоставления»</x:v>
      </x:c>
      <x:c r="L365" s="9"/>
      <x:c r="M365" s="11" t="str">
        <x:v>https://organic-mix.ru/catalog/stopsliznyak-ot-slizney-650-gr/</x:v>
      </x:c>
      <x:c r="N365" s="11"/>
    </x:row>
    <x:row r="366" ht="68" customHeight="1">
      <x:c r="A366" s="6" t="str">
        <x:v>P0361</x:v>
      </x:c>
      <x:c r="B366" s="6" t="str">
        <x:v>Органик Микс</x:v>
      </x:c>
      <x:c r="C366" s="6" t="str">
        <x:v>СТОПТЛИН (СПРЕЙ) - от тли</x:v>
      </x:c>
      <x:c r="D366" s="6" t="str">
        <x:v>Средство для растений/почвы</x:v>
      </x:c>
      <x:c r="E366" s="6" t="str">
        <x:v>Розничный каталог</x:v>
      </x:c>
      <x:c r="F366" s="6" t="str">
        <x:v>G06</x:v>
      </x:c>
      <x:c r="G366" s="6" t="str">
        <x:v>На основе солей высших жирных кислот, растительных и животных жиров</x:v>
      </x:c>
      <x:c r="H366" s="6" t="str">
        <x:v>Есть сведения; см. ограничения</x:v>
      </x:c>
      <x:c r="I366" s="6" t="str">
        <x:v>Готовый спрей</x:v>
      </x:c>
      <x:c r="J366" s="12" t="n">
        <x:v>3</x:v>
      </x:c>
      <x:c r="K366" s="6" t="str">
        <x:v>См. коды и ограничения на листе «Сопоставления»</x:v>
      </x:c>
      <x:c r="L366" s="6"/>
      <x:c r="M366" s="13" t="str">
        <x:v>https://organic-mix.ru/catalog/stoptlin-sprey-ot-tli-1-l-/</x:v>
      </x:c>
      <x:c r="N366" s="13"/>
    </x:row>
    <x:row r="367" ht="68" customHeight="1">
      <x:c r="A367" s="9" t="str">
        <x:v>P0362</x:v>
      </x:c>
      <x:c r="B367" s="9" t="str">
        <x:v>Органик Микс</x:v>
      </x:c>
      <x:c r="C367" s="9" t="str">
        <x:v>ТЛИНИН - от тли</x:v>
      </x:c>
      <x:c r="D367" s="9" t="str">
        <x:v>Средство для растений/почвы</x:v>
      </x:c>
      <x:c r="E367" s="9" t="str">
        <x:v>Розничный каталог</x:v>
      </x:c>
      <x:c r="F367" s="9" t="str">
        <x:v>G17</x:v>
      </x:c>
      <x:c r="G367" s="9" t="str">
        <x:v>Экстракт далматской ромашки, натуральные растительные масла, природный эмульгатор</x:v>
      </x:c>
      <x:c r="H367" s="9" t="str">
        <x:v>Есть сведения; см. ограничения</x:v>
      </x:c>
      <x:c r="I367" s="9" t="str">
        <x:v>См. карточку</x:v>
      </x:c>
      <x:c r="J367" s="10" t="n">
        <x:v>2</x:v>
      </x:c>
      <x:c r="K367" s="9" t="str">
        <x:v>См. коды и ограничения на листе «Сопоставления»</x:v>
      </x:c>
      <x:c r="L367" s="9"/>
      <x:c r="M367" s="11" t="str">
        <x:v>https://organic-mix.ru/catalog/tlinin-ot-tli-100-ml/</x:v>
      </x:c>
      <x:c r="N367" s="11"/>
    </x:row>
    <x:row r="368" ht="82" customHeight="1">
      <x:c r="A368" s="6" t="str">
        <x:v>P0363</x:v>
      </x:c>
      <x:c r="B368" s="6" t="str">
        <x:v>Органик Микс</x:v>
      </x:c>
      <x:c r="C368" s="6" t="str">
        <x:v>Удобрение весеннее</x:v>
      </x:c>
      <x:c r="D368" s="6" t="str">
        <x:v>Средство для растений/почвы</x:v>
      </x:c>
      <x:c r="E368" s="6" t="str">
        <x:v>Розничный каталог</x:v>
      </x:c>
      <x:c r="F368" s="6" t="str">
        <x:v>C22</x:v>
      </x:c>
      <x:c r="G368" s="6" t="str">
        <x:v>NPK: 6-4-2 Мука бобовых, перьевая мука, костная мука, жмых рапсовый, экстракт сахарной свеклы, шелуха какао, жмых арахиса, мука люцерны, барда кукурузная, юарда пшеничная, жмых подсолнечника, водоросли морские микронизированные N - 6%, P - 4%,K - 2%, Ca, Mg, Fe, Mn.</x:v>
      </x:c>
      <x:c r="H368" s="6" t="str">
        <x:v>Есть сведения; см. ограничения</x:v>
      </x:c>
      <x:c r="I368" s="6" t="str">
        <x:v>См. карточку</x:v>
      </x:c>
      <x:c r="J368" s="12" t="n">
        <x:v>5</x:v>
      </x:c>
      <x:c r="K368" s="6" t="str">
        <x:v>См. коды и ограничения на листе «Сопоставления»</x:v>
      </x:c>
      <x:c r="L368" s="6"/>
      <x:c r="M368" s="13" t="str">
        <x:v>https://organic-mix.ru/catalog/udobrenie-vesenee-organik-miks-850-gr/</x:v>
      </x:c>
      <x:c r="N368" s="13"/>
    </x:row>
    <x:row r="369" ht="96" customHeight="1">
      <x:c r="A369" s="9" t="str">
        <x:v>P0364</x:v>
      </x:c>
      <x:c r="B369" s="9" t="str">
        <x:v>Органик Микс</x:v>
      </x:c>
      <x:c r="C369" s="9" t="str">
        <x:v>Удобрение для винограда Органик Микс</x:v>
      </x:c>
      <x:c r="D369" s="9" t="str">
        <x:v>Средство для растений/почвы</x:v>
      </x:c>
      <x:c r="E369" s="9" t="str">
        <x:v>Розничный каталог</x:v>
      </x:c>
      <x:c r="F369" s="9" t="str">
        <x:v>C20</x:v>
      </x:c>
      <x:c r="G369" s="9" t="str">
        <x:v>NPK: 7-3-10 Ферментированная мука бобовых, барда пшеничная, перьевая мука, костная мука обезжиренная. шелуха какао, пивные дрожжи, белок гидролизированный, экстракт сахарной свёклы, жмых подсолнечника, водоросли морские микронизированные. N - 7%, P - 3%, K - 10%, Ca, Mg, S, Zn, Fe, B, Mo</x:v>
      </x:c>
      <x:c r="H369" s="9" t="str">
        <x:v>Есть сведения; см. ограничения</x:v>
      </x:c>
      <x:c r="I369" s="9" t="str">
        <x:v>См. карточку</x:v>
      </x:c>
      <x:c r="J369" s="10" t="n">
        <x:v>5</x:v>
      </x:c>
      <x:c r="K369" s="9" t="str">
        <x:v>См. коды и ограничения на листе «Сопоставления»</x:v>
      </x:c>
      <x:c r="L369" s="9"/>
      <x:c r="M369" s="11" t="str">
        <x:v>https://organic-mix.ru/catalog/udobrenie-dlya-vinograda-organik-miks-7-kg-vedro/</x:v>
      </x:c>
      <x:c r="N369" s="11"/>
    </x:row>
    <x:row r="370" ht="68" customHeight="1">
      <x:c r="A370" s="6" t="str">
        <x:v>P0365</x:v>
      </x:c>
      <x:c r="B370" s="6" t="str">
        <x:v>Органик Микс</x:v>
      </x:c>
      <x:c r="C370" s="6" t="str">
        <x:v>Удобрение для газона "Бельгийская серия"</x:v>
      </x:c>
      <x:c r="D370" s="6" t="str">
        <x:v>Средство для растений/почвы</x:v>
      </x:c>
      <x:c r="E370" s="6" t="str">
        <x:v>Розничный каталог</x:v>
      </x:c>
      <x:c r="F370" s="6" t="str">
        <x:v>C10</x:v>
      </x:c>
      <x:c r="G370" s="6" t="str">
        <x:v>Растительные экстракты глубокой переработки</x:v>
      </x:c>
      <x:c r="H370" s="6" t="str">
        <x:v>Есть сведения; см. ограничения</x:v>
      </x:c>
      <x:c r="I370" s="6" t="str">
        <x:v>См. карточку</x:v>
      </x:c>
      <x:c r="J370" s="12" t="n">
        <x:v>2</x:v>
      </x:c>
      <x:c r="K370" s="6" t="str">
        <x:v>См. коды и ограничения на листе «Сопоставления»</x:v>
      </x:c>
      <x:c r="L370" s="6"/>
      <x:c r="M370" s="13" t="str">
        <x:v>https://organic-mix.ru/catalog/udobrenie-dlya-gazona-belgiyskaya-seriya-750-gr/</x:v>
      </x:c>
      <x:c r="N370" s="13"/>
    </x:row>
    <x:row r="371" ht="68" customHeight="1">
      <x:c r="A371" s="9" t="str">
        <x:v>P0366</x:v>
      </x:c>
      <x:c r="B371" s="9" t="str">
        <x:v>Органик Микс</x:v>
      </x:c>
      <x:c r="C371" s="9" t="str">
        <x:v>Удобрение для газона Антимох "Бельгийская серия"</x:v>
      </x:c>
      <x:c r="D371" s="9" t="str">
        <x:v>Средство для растений/почвы</x:v>
      </x:c>
      <x:c r="E371" s="9" t="str">
        <x:v>Розничный каталог</x:v>
      </x:c>
      <x:c r="F371" s="9" t="str">
        <x:v>C10</x:v>
      </x:c>
      <x:c r="G371" s="9" t="str">
        <x:v>NPK: 8-4-20 + 3MgO</x:v>
      </x:c>
      <x:c r="H371" s="9" t="str">
        <x:v>Есть сведения; см. ограничения</x:v>
      </x:c>
      <x:c r="I371" s="9" t="str">
        <x:v>См. карточку</x:v>
      </x:c>
      <x:c r="J371" s="10" t="n">
        <x:v>3</x:v>
      </x:c>
      <x:c r="K371" s="9" t="str">
        <x:v>См. коды и ограничения на листе «Сопоставления»</x:v>
      </x:c>
      <x:c r="L371" s="9"/>
      <x:c r="M371" s="11" t="str">
        <x:v>https://organic-mix.ru/catalog/udobrenie-dlya-gazona-antimokh-belgiyskaya-seriya-750-gr/</x:v>
      </x:c>
      <x:c r="N371" s="11"/>
    </x:row>
    <x:row r="372" ht="82" customHeight="1">
      <x:c r="A372" s="6" t="str">
        <x:v>P0367</x:v>
      </x:c>
      <x:c r="B372" s="6" t="str">
        <x:v>Органик Микс</x:v>
      </x:c>
      <x:c r="C372" s="6" t="str">
        <x:v>Удобрение для газона Весна-Лето Органик Микс</x:v>
      </x:c>
      <x:c r="D372" s="6" t="str">
        <x:v>Средство для растений/почвы</x:v>
      </x:c>
      <x:c r="E372" s="6" t="str">
        <x:v>Розничный каталог</x:v>
      </x:c>
      <x:c r="F372" s="6" t="str">
        <x:v>C10; C22</x:v>
      </x:c>
      <x:c r="G372" s="6" t="str">
        <x:v>NPK: 7-6-6 Перьевая мука, белок гидролизованный, мука бобовых, жмых рапсовый, соевый жмых, жмых подсолнечника, мука люцерны, барда пшеничная, комтная мука обезжиренная, пивные дрожжи, водоросли микронизированные морские. N-7%, P-6%, K-6%, Ca, Mg, S, Zn, Fe, B, Mo.</x:v>
      </x:c>
      <x:c r="H372" s="6" t="str">
        <x:v>Есть сведения; см. ограничения</x:v>
      </x:c>
      <x:c r="I372" s="6" t="str">
        <x:v>См. карточку</x:v>
      </x:c>
      <x:c r="J372" s="12" t="n">
        <x:v>2</x:v>
      </x:c>
      <x:c r="K372" s="6" t="str">
        <x:v>См. коды и ограничения на листе «Сопоставления»</x:v>
      </x:c>
      <x:c r="L372" s="6"/>
      <x:c r="M372" s="13" t="str">
        <x:v>https://organic-mix.ru/catalog/udobrenie-dlya-gazona-organik-miks-25-kg/</x:v>
      </x:c>
      <x:c r="N372" s="13"/>
    </x:row>
    <x:row r="373" ht="82" customHeight="1">
      <x:c r="A373" s="9" t="str">
        <x:v>P0368</x:v>
      </x:c>
      <x:c r="B373" s="9" t="str">
        <x:v>Органик Микс</x:v>
      </x:c>
      <x:c r="C373" s="9" t="str">
        <x:v>Удобрение для газона Осень</x:v>
      </x:c>
      <x:c r="D373" s="9" t="str">
        <x:v>Средство для растений/почвы</x:v>
      </x:c>
      <x:c r="E373" s="9" t="str">
        <x:v>Розничный каталог</x:v>
      </x:c>
      <x:c r="F373" s="9" t="str">
        <x:v>C10; C21</x:v>
      </x:c>
      <x:c r="G373" s="9" t="str">
        <x:v>NPK: 3-5-12 Шелуха бобовых, шелуха какао, костная мука обезжиренная, шрот рапса, барда пшеничная, жмых льна, мука люцерны, шелуха подсолнечника, меласса, экстракт сахарной свёклы, водоросли морские микронизированные N - 3%, P - 5%, K - 12%, Ca, Mg, S, Zn, Fe, B, Mo</x:v>
      </x:c>
      <x:c r="H373" s="9" t="str">
        <x:v>Есть сведения; см. ограничения</x:v>
      </x:c>
      <x:c r="I373" s="9" t="str">
        <x:v>См. карточку</x:v>
      </x:c>
      <x:c r="J373" s="10" t="n">
        <x:v>2</x:v>
      </x:c>
      <x:c r="K373" s="9" t="str">
        <x:v>См. коды и ограничения на листе «Сопоставления»</x:v>
      </x:c>
      <x:c r="L373" s="9"/>
      <x:c r="M373" s="11" t="str">
        <x:v>https://organic-mix.ru/catalog/udobrenie-dlya-gazona-osen-organik-miks-7-kg-vedro/</x:v>
      </x:c>
      <x:c r="N373" s="11"/>
    </x:row>
    <x:row r="374" ht="96" customHeight="1">
      <x:c r="A374" s="6" t="str">
        <x:v>P0369</x:v>
      </x:c>
      <x:c r="B374" s="6" t="str">
        <x:v>Органик Микс</x:v>
      </x:c>
      <x:c r="C374" s="6" t="str">
        <x:v>Удобрение для гигантской тыквы Рыжий Слон Органик Микс</x:v>
      </x:c>
      <x:c r="D374" s="6" t="str">
        <x:v>Средство для растений/почвы</x:v>
      </x:c>
      <x:c r="E374" s="6" t="str">
        <x:v>Розничный каталог</x:v>
      </x:c>
      <x:c r="F374" s="6" t="str">
        <x:v>C03</x:v>
      </x:c>
      <x:c r="G374" s="6" t="str">
        <x:v>NPK: 6-5-8 Ферментированная мука бобовых, барда пшеничная, костная мука обезжиренная, шелуха какао, перьевая мука, пивные дрожжи, экстракт сахарной свёклы, белок гидролизованный, жмых подсолнечника, водоросли морские микронизированные N - 6%, P – 5%, K – 8%, Ca, Mg, S, Zn, Fe, B, Mo</x:v>
      </x:c>
      <x:c r="H374" s="6" t="str">
        <x:v>Есть сведения; см. ограничения</x:v>
      </x:c>
      <x:c r="I374" s="6" t="str">
        <x:v>См. карточку</x:v>
      </x:c>
      <x:c r="J374" s="12" t="n">
        <x:v>4</x:v>
      </x:c>
      <x:c r="K374" s="6" t="str">
        <x:v>См. коды и ограничения на листе «Сопоставления»</x:v>
      </x:c>
      <x:c r="L374" s="6"/>
      <x:c r="M374" s="13" t="str">
        <x:v>https://organic-mix.ru/catalog/udobrenie-dlya-gigantskoy-tykvy-ryzhiy-slon-organik-miks-7-kg-vedro/</x:v>
      </x:c>
      <x:c r="N374" s="13"/>
    </x:row>
    <x:row r="375" ht="68" customHeight="1">
      <x:c r="A375" s="9" t="str">
        <x:v>P0370</x:v>
      </x:c>
      <x:c r="B375" s="9" t="str">
        <x:v>Органик Микс</x:v>
      </x:c>
      <x:c r="C375" s="9" t="str">
        <x:v>Удобрение для голубики</x:v>
      </x:c>
      <x:c r="D375" s="9" t="str">
        <x:v>Средство для растений/почвы</x:v>
      </x:c>
      <x:c r="E375" s="9" t="str">
        <x:v>Розничный каталог</x:v>
      </x:c>
      <x:c r="F375" s="9" t="str">
        <x:v>C08</x:v>
      </x:c>
      <x:c r="G375" s="9" t="str">
        <x:v>NPK: 6-5-5 Ферментированные зерновые и овощные культуры, глютен. N - 6%, P - 5%, K - 5%, Ca, Mg, S, Zn, Fe, B, Mo</x:v>
      </x:c>
      <x:c r="H375" s="9" t="str">
        <x:v>Есть сведения; см. ограничения</x:v>
      </x:c>
      <x:c r="I375" s="9" t="str">
        <x:v>См. карточку</x:v>
      </x:c>
      <x:c r="J375" s="10" t="n">
        <x:v>6</x:v>
      </x:c>
      <x:c r="K375" s="9" t="str">
        <x:v>См. коды и ограничения на листе «Сопоставления»</x:v>
      </x:c>
      <x:c r="L375" s="9"/>
      <x:c r="M375" s="11" t="str">
        <x:v>https://organic-mix.ru/catalog/udobrenie-dlya-golubiki/</x:v>
      </x:c>
      <x:c r="N375" s="11"/>
    </x:row>
    <x:row r="376" ht="68" customHeight="1">
      <x:c r="A376" s="6" t="str">
        <x:v>P0371</x:v>
      </x:c>
      <x:c r="B376" s="6" t="str">
        <x:v>Органик Микс</x:v>
      </x:c>
      <x:c r="C376" s="6" t="str">
        <x:v>Удобрение для гортензий</x:v>
      </x:c>
      <x:c r="D376" s="6" t="str">
        <x:v>Средство для растений/почвы</x:v>
      </x:c>
      <x:c r="E376" s="6" t="str">
        <x:v>Розничный каталог</x:v>
      </x:c>
      <x:c r="F376" s="6" t="str">
        <x:v>C07</x:v>
      </x:c>
      <x:c r="G376" s="6" t="str">
        <x:v>NPK: 6-5-5 Ферментированные зерновые (кукуруза, рожь, пшеница), перьевая мука, ферментированная мука бобовых, костная мука обезжиренная. N - 6%, P - 5%, K - 5%, Ca, Mg, S, Zn, Fe, B, Mo</x:v>
      </x:c>
      <x:c r="H376" s="6" t="str">
        <x:v>Есть сведения; см. ограничения</x:v>
      </x:c>
      <x:c r="I376" s="6" t="str">
        <x:v>См. карточку</x:v>
      </x:c>
      <x:c r="J376" s="12" t="n">
        <x:v>6</x:v>
      </x:c>
      <x:c r="K376" s="6" t="str">
        <x:v>См. коды и ограничения на листе «Сопоставления»</x:v>
      </x:c>
      <x:c r="L376" s="6"/>
      <x:c r="M376" s="13" t="str">
        <x:v>https://organic-mix.ru/catalog/udobrenie-dlya-gortenziy-organik-miks-800-gr/</x:v>
      </x:c>
      <x:c r="N376" s="13"/>
    </x:row>
    <x:row r="377" ht="96" customHeight="1">
      <x:c r="A377" s="9" t="str">
        <x:v>P0372</x:v>
      </x:c>
      <x:c r="B377" s="9" t="str">
        <x:v>Органик Микс</x:v>
      </x:c>
      <x:c r="C377" s="9" t="str">
        <x:v>Удобрение для капусты</x:v>
      </x:c>
      <x:c r="D377" s="9" t="str">
        <x:v>Средство для растений/почвы</x:v>
      </x:c>
      <x:c r="E377" s="9" t="str">
        <x:v>Розничный каталог</x:v>
      </x:c>
      <x:c r="F377" s="9" t="str">
        <x:v>C23</x:v>
      </x:c>
      <x:c r="G377" s="9" t="str">
        <x:v>NPK: 5-4-10 Ферментированная мука бобовых, барда пшеничная, перьевая мука, костная мука обезжиренная, рыбная мука, пивные дрожжи, белок гидролизованный, жмых подсолнечника, мука люцерны, экстракт сахарной свеклы, водоросли морские микронизированные N - 5%, P - 4%, K - 10%, Ca , Mg, S, Zn, Fe, B, Mo</x:v>
      </x:c>
      <x:c r="H377" s="9" t="str">
        <x:v>Есть сведения; см. ограничения</x:v>
      </x:c>
      <x:c r="I377" s="9" t="str">
        <x:v>См. карточку</x:v>
      </x:c>
      <x:c r="J377" s="10" t="n">
        <x:v>4</x:v>
      </x:c>
      <x:c r="K377" s="9" t="str">
        <x:v>См. коды и ограничения на листе «Сопоставления»</x:v>
      </x:c>
      <x:c r="L377" s="9"/>
      <x:c r="M377" s="11" t="str">
        <x:v>https://organic-mix.ru/catalog/udobrenie-dlya-kapusty-850-gr/</x:v>
      </x:c>
      <x:c r="N377" s="11"/>
    </x:row>
    <x:row r="378" ht="82" customHeight="1">
      <x:c r="A378" s="6" t="str">
        <x:v>P0373</x:v>
      </x:c>
      <x:c r="B378" s="6" t="str">
        <x:v>Органик Микс</x:v>
      </x:c>
      <x:c r="C378" s="6" t="str">
        <x:v>Удобрение для картофеля Органик Микс</x:v>
      </x:c>
      <x:c r="D378" s="6" t="str">
        <x:v>Средство для растений/почвы</x:v>
      </x:c>
      <x:c r="E378" s="6" t="str">
        <x:v>Розничный каталог</x:v>
      </x:c>
      <x:c r="F378" s="6" t="str">
        <x:v>C19</x:v>
      </x:c>
      <x:c r="G378" s="6" t="str">
        <x:v>NPK: 6-5-9 Ферментированная мука бобовых, барда пшеничная, перьевая мука, костная мука обезжиренная, шелуха какао, белок гидролизированный, экстракт сахарной свеклы, жмых подсолнечника, водоросли микронизированные N-6, P-5, K-9, Ca,Mg,Fe,Mn</x:v>
      </x:c>
      <x:c r="H378" s="6" t="str">
        <x:v>Есть сведения; см. ограничения</x:v>
      </x:c>
      <x:c r="I378" s="6" t="str">
        <x:v>См. карточку</x:v>
      </x:c>
      <x:c r="J378" s="12" t="n">
        <x:v>5</x:v>
      </x:c>
      <x:c r="K378" s="6" t="str">
        <x:v>См. коды и ограничения на листе «Сопоставления»</x:v>
      </x:c>
      <x:c r="L378" s="6"/>
      <x:c r="M378" s="13" t="str">
        <x:v>https://organic-mix.ru/catalog/udobrenie-dlya-kartofelya-organik-miks-7-kg-vedro/</x:v>
      </x:c>
      <x:c r="N378" s="13"/>
    </x:row>
    <x:row r="379" ht="68" customHeight="1">
      <x:c r="A379" s="9" t="str">
        <x:v>P0374</x:v>
      </x:c>
      <x:c r="B379" s="9" t="str">
        <x:v>Органик Микс</x:v>
      </x:c>
      <x:c r="C379" s="9" t="str">
        <x:v>Удобрение для кислых почв</x:v>
      </x:c>
      <x:c r="D379" s="9" t="str">
        <x:v>Средство для растений/почвы</x:v>
      </x:c>
      <x:c r="E379" s="9" t="str">
        <x:v>Розничный каталог</x:v>
      </x:c>
      <x:c r="F379" s="9" t="str">
        <x:v>—</x:v>
      </x:c>
      <x:c r="G379" s="9" t="str">
        <x:v>NPK: 5-5-7 Мука бобовых, перьевая мука, костная мука, белок гидролизированный, зола подсолнечника, дрожжи пивные, водоросли морские микронизированные. N - 5%, P - 5%, K -7%, Ca, Mg, S, Zn, Fe, B, Mo</x:v>
      </x:c>
      <x:c r="H379" s="9" t="str">
        <x:v>Есть сведения; см. ограничения</x:v>
      </x:c>
      <x:c r="I379" s="9" t="str">
        <x:v>См. карточку</x:v>
      </x:c>
      <x:c r="J379" s="10" t="n">
        <x:v>3</x:v>
      </x:c>
      <x:c r="K379" s="9" t="str">
        <x:v>Близкий аналог не подтвержден</x:v>
      </x:c>
      <x:c r="L379" s="9"/>
      <x:c r="M379" s="11" t="str">
        <x:v>https://organic-mix.ru/catalog/udobreniya-dlya-kislykh-pochv-organiks-miks-850-gr/</x:v>
      </x:c>
      <x:c r="N379" s="11"/>
    </x:row>
    <x:row r="380" ht="82" customHeight="1">
      <x:c r="A380" s="6" t="str">
        <x:v>P0375</x:v>
      </x:c>
      <x:c r="B380" s="6" t="str">
        <x:v>Органик Микс</x:v>
      </x:c>
      <x:c r="C380" s="6" t="str">
        <x:v>Удобрение для клубники и ягодных</x:v>
      </x:c>
      <x:c r="D380" s="6" t="str">
        <x:v>Средство для растений/почвы</x:v>
      </x:c>
      <x:c r="E380" s="6" t="str">
        <x:v>Розничный каталог</x:v>
      </x:c>
      <x:c r="F380" s="6" t="str">
        <x:v>C05</x:v>
      </x:c>
      <x:c r="G380" s="6" t="str">
        <x:v>NPK - 6-3-3 Ферментированная мука бобовых, перьевая мука, костная мука обезжиренная, жмых рапсовый, меласса, мука люцерны, барда кукурузная, барда пшеничная, водоросли морские микронизированные. N - 6%, P - 3%, K - 3%, Ca, Mg, S, Zn, Fe, B, Mo</x:v>
      </x:c>
      <x:c r="H380" s="6" t="str">
        <x:v>Есть сведения; см. ограничения</x:v>
      </x:c>
      <x:c r="I380" s="6" t="str">
        <x:v>См. карточку</x:v>
      </x:c>
      <x:c r="J380" s="12" t="n">
        <x:v>6</x:v>
      </x:c>
      <x:c r="K380" s="6" t="str">
        <x:v>См. коды и ограничения на листе «Сопоставления»</x:v>
      </x:c>
      <x:c r="L380" s="6"/>
      <x:c r="M380" s="13" t="str">
        <x:v>https://organic-mix.ru/catalog/udobrenie-dlya-klubniki-i-yagodnykh-organik-miks-800-gr/</x:v>
      </x:c>
      <x:c r="N380" s="13"/>
    </x:row>
    <x:row r="381" ht="82" customHeight="1">
      <x:c r="A381" s="9" t="str">
        <x:v>P0376</x:v>
      </x:c>
      <x:c r="B381" s="9" t="str">
        <x:v>Органик Микс</x:v>
      </x:c>
      <x:c r="C381" s="9" t="str">
        <x:v>Удобрение для корнеплодов</x:v>
      </x:c>
      <x:c r="D381" s="9" t="str">
        <x:v>Средство для растений/почвы</x:v>
      </x:c>
      <x:c r="E381" s="9" t="str">
        <x:v>Розничный каталог</x:v>
      </x:c>
      <x:c r="F381" s="9" t="str">
        <x:v>C19</x:v>
      </x:c>
      <x:c r="G381" s="9" t="str">
        <x:v>NPK: 5-6-8 Ферментированная мука бобовых , барда пшеничная , перьевая мука , костная мука обезжиренная , шелуха какао, белок гидролизированный , экстракт сахарной свеклы , жмых подсолнечника, водоросли микронизированные N - 5 %, P - 6 %,K - 8, Ca, Mg, Fe, Mn.</x:v>
      </x:c>
      <x:c r="H381" s="9" t="str">
        <x:v>Есть сведения; см. ограничения</x:v>
      </x:c>
      <x:c r="I381" s="9" t="str">
        <x:v>См. карточку</x:v>
      </x:c>
      <x:c r="J381" s="10" t="n">
        <x:v>4</x:v>
      </x:c>
      <x:c r="K381" s="9" t="str">
        <x:v>См. коды и ограничения на листе «Сопоставления»</x:v>
      </x:c>
      <x:c r="L381" s="9"/>
      <x:c r="M381" s="11" t="str">
        <x:v>https://organic-mix.ru/catalog/udobrenie-dlya-korneplodov-organik-miks-850-gr/</x:v>
      </x:c>
      <x:c r="N381" s="11"/>
    </x:row>
    <x:row r="382" ht="82" customHeight="1">
      <x:c r="A382" s="6" t="str">
        <x:v>P0377</x:v>
      </x:c>
      <x:c r="B382" s="6" t="str">
        <x:v>Органик Микс</x:v>
      </x:c>
      <x:c r="C382" s="6" t="str">
        <x:v>Удобрение для косточковых ЧерриГарден Органик Микс</x:v>
      </x:c>
      <x:c r="D382" s="6" t="str">
        <x:v>Средство для растений/почвы</x:v>
      </x:c>
      <x:c r="E382" s="6" t="str">
        <x:v>Розничный каталог</x:v>
      </x:c>
      <x:c r="F382" s="6" t="str">
        <x:v>C20</x:v>
      </x:c>
      <x:c r="G382" s="6" t="str">
        <x:v>NPK: 7-3-10 Мука бобовых, перьевая мука, костная мука, жмых рапсовый, экстракт сахарной свеклы, шелуха какао, жмых арахиса, мука люцерны, барда кукурузная, барда пшеничная, жмых подсолнечника, водоросли морские микронизированные N - 7%, P - 3%, K - 10%, Ca, Mg, Fe, Mn.</x:v>
      </x:c>
      <x:c r="H382" s="6" t="str">
        <x:v>Есть сведения; см. ограничения</x:v>
      </x:c>
      <x:c r="I382" s="6" t="str">
        <x:v>См. карточку</x:v>
      </x:c>
      <x:c r="J382" s="12" t="n">
        <x:v>4</x:v>
      </x:c>
      <x:c r="K382" s="6" t="str">
        <x:v>См. коды и ограничения на листе «Сопоставления»</x:v>
      </x:c>
      <x:c r="L382" s="6"/>
      <x:c r="M382" s="13" t="str">
        <x:v>https://organic-mix.ru/catalog/udobrenie-dlya-kostochkovykh-cherrigarden-organik-miks-7-kg/</x:v>
      </x:c>
      <x:c r="N382" s="13"/>
    </x:row>
    <x:row r="383" ht="82" customHeight="1">
      <x:c r="A383" s="9" t="str">
        <x:v>P0378</x:v>
      </x:c>
      <x:c r="B383" s="9" t="str">
        <x:v>Органик Микс</x:v>
      </x:c>
      <x:c r="C383" s="9" t="str">
        <x:v>Удобрение для луковичных Органик Микс</x:v>
      </x:c>
      <x:c r="D383" s="9" t="str">
        <x:v>Средство для растений/почвы</x:v>
      </x:c>
      <x:c r="E383" s="9" t="str">
        <x:v>Розничный каталог</x:v>
      </x:c>
      <x:c r="F383" s="9" t="str">
        <x:v>C26</x:v>
      </x:c>
      <x:c r="G383" s="9" t="str">
        <x:v>NPK: 7-3-10 Шрот рогокопытный, мука перьевая, костная мука, мука рыбная костная, мука люцерны, меласса, экстракт сахарной свеклы, табак, шелуха подсолнечника, шелуха какао, водоросли морские микронизированные N - 7%, P - 3%, K - 10%, Ca, Mg, S, Zn, Fe, B, Mo</x:v>
      </x:c>
      <x:c r="H383" s="9" t="str">
        <x:v>Есть сведения; см. ограничения</x:v>
      </x:c>
      <x:c r="I383" s="9" t="str">
        <x:v>См. карточку</x:v>
      </x:c>
      <x:c r="J383" s="10" t="n">
        <x:v>5</x:v>
      </x:c>
      <x:c r="K383" s="9" t="str">
        <x:v>См. коды и ограничения на листе «Сопоставления»</x:v>
      </x:c>
      <x:c r="L383" s="9"/>
      <x:c r="M383" s="11" t="str">
        <x:v>https://organic-mix.ru/catalog/udobrenie-dlya-lukovichnykh-organik-miks-7-kg-vedro/</x:v>
      </x:c>
      <x:c r="N383" s="11"/>
    </x:row>
    <x:row r="384" ht="68" customHeight="1">
      <x:c r="A384" s="6" t="str">
        <x:v>P0379</x:v>
      </x:c>
      <x:c r="B384" s="6" t="str">
        <x:v>Органик Микс</x:v>
      </x:c>
      <x:c r="C384" s="6" t="str">
        <x:v>Удобрение для овощей "Бельгийская серия"</x:v>
      </x:c>
      <x:c r="D384" s="6" t="str">
        <x:v>Средство для растений/почвы</x:v>
      </x:c>
      <x:c r="E384" s="6" t="str">
        <x:v>Розничный каталог</x:v>
      </x:c>
      <x:c r="F384" s="6" t="str">
        <x:v>C25</x:v>
      </x:c>
      <x:c r="G384" s="6" t="str">
        <x:v>NPK: 6-3-12 + 2MgO 100% натуральные органические компоненты</x:v>
      </x:c>
      <x:c r="H384" s="6" t="str">
        <x:v>Есть сведения; см. ограничения</x:v>
      </x:c>
      <x:c r="I384" s="6" t="str">
        <x:v>См. карточку</x:v>
      </x:c>
      <x:c r="J384" s="12" t="n">
        <x:v>8</x:v>
      </x:c>
      <x:c r="K384" s="6" t="str">
        <x:v>См. коды и ограничения на листе «Сопоставления»</x:v>
      </x:c>
      <x:c r="L384" s="6"/>
      <x:c r="M384" s="13" t="str">
        <x:v>https://organic-mix.ru/catalog/udobrenie-dlya-ovoshchey-belgiyskaya-seriya/</x:v>
      </x:c>
      <x:c r="N384" s="13"/>
    </x:row>
    <x:row r="385" ht="82" customHeight="1">
      <x:c r="A385" s="9" t="str">
        <x:v>P0380</x:v>
      </x:c>
      <x:c r="B385" s="9" t="str">
        <x:v>Органик Микс</x:v>
      </x:c>
      <x:c r="C385" s="9" t="str">
        <x:v>Удобрение для огурцов</x:v>
      </x:c>
      <x:c r="D385" s="9" t="str">
        <x:v>Средство для растений/почвы</x:v>
      </x:c>
      <x:c r="E385" s="9" t="str">
        <x:v>Розничный каталог</x:v>
      </x:c>
      <x:c r="F385" s="9" t="str">
        <x:v>C03</x:v>
      </x:c>
      <x:c r="G385" s="9" t="str">
        <x:v>NPK - 6-5-2 Ферментированная мука бобовых, барда пшеничная, перьевая мука, костная мука обезжиренная, шелуха какао, пивные дрожжи, белок гидролизированный, экстракт сахарной свеклы, водоросли морские микронизированные. N- 6%, P -5%, K -2%, Ca, Mg, S, Zn, Fe, B, Mo</x:v>
      </x:c>
      <x:c r="H385" s="9" t="str">
        <x:v>Есть сведения; см. ограничения</x:v>
      </x:c>
      <x:c r="I385" s="9" t="str">
        <x:v>См. карточку</x:v>
      </x:c>
      <x:c r="J385" s="10" t="n">
        <x:v>6</x:v>
      </x:c>
      <x:c r="K385" s="9" t="str">
        <x:v>См. коды и ограничения на листе «Сопоставления»</x:v>
      </x:c>
      <x:c r="L385" s="9"/>
      <x:c r="M385" s="11" t="str">
        <x:v>https://organic-mix.ru/catalog/udobrenie-dlya-ogurtsov-organik-miks-850-gr/</x:v>
      </x:c>
      <x:c r="N385" s="11"/>
    </x:row>
    <x:row r="386" ht="82" customHeight="1">
      <x:c r="A386" s="6" t="str">
        <x:v>P0381</x:v>
      </x:c>
      <x:c r="B386" s="6" t="str">
        <x:v>Органик Микс</x:v>
      </x:c>
      <x:c r="C386" s="6" t="str">
        <x:v>Удобрение для пересадки и рассады</x:v>
      </x:c>
      <x:c r="D386" s="6" t="str">
        <x:v>Средство для растений/почвы</x:v>
      </x:c>
      <x:c r="E386" s="6" t="str">
        <x:v>Розничный каталог</x:v>
      </x:c>
      <x:c r="F386" s="6" t="str">
        <x:v>C04</x:v>
      </x:c>
      <x:c r="G386" s="6" t="str">
        <x:v>NPK: 4-6-1 Ферментированная мука бобовых, рыбная костная мука, костная мука обезжиренная, мука люцерны, шелуха како, экстракт сахарной свеклы, водоросли морские микронизированные. N - 4%, P - 6%, K - 1%, Ca, Mg, S, Zn, Fe, B, Mo</x:v>
      </x:c>
      <x:c r="H386" s="6" t="str">
        <x:v>Есть сведения; см. ограничения</x:v>
      </x:c>
      <x:c r="I386" s="6" t="str">
        <x:v>См. карточку</x:v>
      </x:c>
      <x:c r="J386" s="12" t="n">
        <x:v>3</x:v>
      </x:c>
      <x:c r="K386" s="6" t="str">
        <x:v>См. коды и ограничения на листе «Сопоставления»</x:v>
      </x:c>
      <x:c r="L386" s="6"/>
      <x:c r="M386" s="13" t="str">
        <x:v>https://organic-mix.ru/catalog/udobrenie-dlya-peresadki-i-rassady-organik-miks-850-gr/</x:v>
      </x:c>
      <x:c r="N386" s="13"/>
    </x:row>
    <x:row r="387" ht="82" customHeight="1">
      <x:c r="A387" s="9" t="str">
        <x:v>P0382</x:v>
      </x:c>
      <x:c r="B387" s="9" t="str">
        <x:v>Органик Микс</x:v>
      </x:c>
      <x:c r="C387" s="9" t="str">
        <x:v>Удобрение для посадки саженцев</x:v>
      </x:c>
      <x:c r="D387" s="9" t="str">
        <x:v>Средство для растений/почвы</x:v>
      </x:c>
      <x:c r="E387" s="9" t="str">
        <x:v>Розничный каталог</x:v>
      </x:c>
      <x:c r="F387" s="9" t="str">
        <x:v>C04</x:v>
      </x:c>
      <x:c r="G387" s="9" t="str">
        <x:v>NPK - 4-6-1 Ферментированная мука бобовых, рыбная мука, рыбная костная мука, костная мука обезжиренная, мука люцерны, водоросли морские микронизированные, аминокислоты, витамины. N- 4%, P -6%, K -1%, Ca, Mg, S, Zn, Fe, B, Mo</x:v>
      </x:c>
      <x:c r="H387" s="9" t="str">
        <x:v>Есть сведения; см. ограничения</x:v>
      </x:c>
      <x:c r="I387" s="9" t="str">
        <x:v>См. карточку</x:v>
      </x:c>
      <x:c r="J387" s="10" t="n">
        <x:v>4</x:v>
      </x:c>
      <x:c r="K387" s="9" t="str">
        <x:v>См. коды и ограничения на листе «Сопоставления»</x:v>
      </x:c>
      <x:c r="L387" s="9"/>
      <x:c r="M387" s="11" t="str">
        <x:v>https://organic-mix.ru/catalog/udobrenie-dlya-posadki-sazhentsev-organik-miks-850-gr/</x:v>
      </x:c>
      <x:c r="N387" s="11"/>
    </x:row>
    <x:row r="388" ht="82" customHeight="1">
      <x:c r="A388" s="6" t="str">
        <x:v>P0383</x:v>
      </x:c>
      <x:c r="B388" s="6" t="str">
        <x:v>Органик Микс</x:v>
      </x:c>
      <x:c r="C388" s="6" t="str">
        <x:v>Удобрение для роз и цветов Органик Микс</x:v>
      </x:c>
      <x:c r="D388" s="6" t="str">
        <x:v>Средство для растений/почвы</x:v>
      </x:c>
      <x:c r="E388" s="6" t="str">
        <x:v>Розничный каталог</x:v>
      </x:c>
      <x:c r="F388" s="6" t="str">
        <x:v>C06; C17</x:v>
      </x:c>
      <x:c r="G388" s="6" t="str">
        <x:v>NPK: 7-3-10 Ферментированная мука бобовых, рыбная костная мука, костная мука обезжиренная, мука люцерны, шелуха како, экстракт сахарной свеклы, водоросли морские микронизированные. N - 7%, P - 3%, K - 10%, Ca, Mg, S, Zn, Fe, B, Mo</x:v>
      </x:c>
      <x:c r="H388" s="6" t="str">
        <x:v>Есть сведения; см. ограничения</x:v>
      </x:c>
      <x:c r="I388" s="6" t="str">
        <x:v>См. карточку</x:v>
      </x:c>
      <x:c r="J388" s="12" t="n">
        <x:v>6</x:v>
      </x:c>
      <x:c r="K388" s="6" t="str">
        <x:v>См. коды и ограничения на листе «Сопоставления»</x:v>
      </x:c>
      <x:c r="L388" s="6"/>
      <x:c r="M388" s="13" t="str">
        <x:v>https://organic-mix.ru/catalog/udobrenie-dlya-roz-i-tsvetov-organik-miks-7-kg-vedro/</x:v>
      </x:c>
      <x:c r="N388" s="13"/>
    </x:row>
    <x:row r="389" ht="82" customHeight="1">
      <x:c r="A389" s="9" t="str">
        <x:v>P0384</x:v>
      </x:c>
      <x:c r="B389" s="9" t="str">
        <x:v>Органик Микс</x:v>
      </x:c>
      <x:c r="C389" s="9" t="str">
        <x:v>Удобрение для семечковых ЭплГарден Органик Микс</x:v>
      </x:c>
      <x:c r="D389" s="9" t="str">
        <x:v>Средство для растений/почвы</x:v>
      </x:c>
      <x:c r="E389" s="9" t="str">
        <x:v>Розничный каталог</x:v>
      </x:c>
      <x:c r="F389" s="9" t="str">
        <x:v>C20</x:v>
      </x:c>
      <x:c r="G389" s="9" t="str">
        <x:v>NPK: 5-4-6 Мука бобовых, перьевая мука, костная мука, жмых рапсовый, экстракт сахарной свеклы, шелуха какао, жмых арахиса, мука люцерны, барда кукурузная, барда пшеничная, жмых подсолнечника, водоросли морские микронизированные N - 5%, P - 4%, K - 6%, Ca, Mg, Fe, Mn.</x:v>
      </x:c>
      <x:c r="H389" s="9" t="str">
        <x:v>Есть сведения; см. ограничения</x:v>
      </x:c>
      <x:c r="I389" s="9" t="str">
        <x:v>См. карточку</x:v>
      </x:c>
      <x:c r="J389" s="10" t="n">
        <x:v>5</x:v>
      </x:c>
      <x:c r="K389" s="9" t="str">
        <x:v>См. коды и ограничения на листе «Сопоставления»</x:v>
      </x:c>
      <x:c r="L389" s="9"/>
      <x:c r="M389" s="11" t="str">
        <x:v>https://organic-mix.ru/catalog/udobrenie-dlya-semechkovykh-eplgarden-organik-miks-25-kg/</x:v>
      </x:c>
      <x:c r="N389" s="11"/>
    </x:row>
    <x:row r="390" ht="82" customHeight="1">
      <x:c r="A390" s="6" t="str">
        <x:v>P0385</x:v>
      </x:c>
      <x:c r="B390" s="6" t="str">
        <x:v>Органик Микс</x:v>
      </x:c>
      <x:c r="C390" s="6" t="str">
        <x:v>Удобрение для томатов</x:v>
      </x:c>
      <x:c r="D390" s="6" t="str">
        <x:v>Средство для растений/почвы</x:v>
      </x:c>
      <x:c r="E390" s="6" t="str">
        <x:v>Розничный каталог</x:v>
      </x:c>
      <x:c r="F390" s="6" t="str">
        <x:v>C02</x:v>
      </x:c>
      <x:c r="G390" s="6" t="str">
        <x:v>NPK: 6-5-2 Ферментированная мука бобовых, барда пшеничная, перьевая мука, костная мука обезжиренная, шелуха какао, пивные дрожжи, белок гидролизированный, экстракт сахарной свёклы, водоросли морские микронизированные. N - 6%, P - 5%, K - 2%, Ca – 8%, Mg, S, Zn, Fe, B, Mo</x:v>
      </x:c>
      <x:c r="H390" s="6" t="str">
        <x:v>Есть сведения; см. ограничения</x:v>
      </x:c>
      <x:c r="I390" s="6" t="str">
        <x:v>См. карточку</x:v>
      </x:c>
      <x:c r="J390" s="12" t="n">
        <x:v>6</x:v>
      </x:c>
      <x:c r="K390" s="6" t="str">
        <x:v>См. коды и ограничения на листе «Сопоставления»</x:v>
      </x:c>
      <x:c r="L390" s="6"/>
      <x:c r="M390" s="13" t="str">
        <x:v>https://organic-mix.ru/catalog/udobrenie-dlya-tomatov/</x:v>
      </x:c>
      <x:c r="N390" s="13"/>
    </x:row>
    <x:row r="391" ht="82" customHeight="1">
      <x:c r="A391" s="9" t="str">
        <x:v>P0386</x:v>
      </x:c>
      <x:c r="B391" s="9" t="str">
        <x:v>Органик Микс</x:v>
      </x:c>
      <x:c r="C391" s="9" t="str">
        <x:v>Удобрение для туй Зеленая стрела Органик Микс</x:v>
      </x:c>
      <x:c r="D391" s="9" t="str">
        <x:v>Средство для растений/почвы</x:v>
      </x:c>
      <x:c r="E391" s="9" t="str">
        <x:v>Розничный каталог</x:v>
      </x:c>
      <x:c r="F391" s="9" t="str">
        <x:v>C09</x:v>
      </x:c>
      <x:c r="G391" s="9" t="str">
        <x:v>NPK 6-3-4 Барда пшеничная, мука перьевая, мука бобовых, шелуха какао, жмых кофе, меласса, экстракт сахарной свеклы, шелуха подсолнечника, мука рыбная, мука люцерны, водоросли морские микронизированные N- 6%, P – 3%,K – 4%, Mg, S, Zn, Fe, B, Mo</x:v>
      </x:c>
      <x:c r="H391" s="9" t="str">
        <x:v>Есть сведения; см. ограничения</x:v>
      </x:c>
      <x:c r="I391" s="9" t="str">
        <x:v>См. карточку</x:v>
      </x:c>
      <x:c r="J391" s="10" t="n">
        <x:v>5</x:v>
      </x:c>
      <x:c r="K391" s="9" t="str">
        <x:v>См. коды и ограничения на листе «Сопоставления»</x:v>
      </x:c>
      <x:c r="L391" s="9"/>
      <x:c r="M391" s="11" t="str">
        <x:v>https://organic-mix.ru/catalog/udobrenie-dlya-tuy-zelenaya-strela-organik-miks-7-kg-vedro/</x:v>
      </x:c>
      <x:c r="N391" s="11"/>
    </x:row>
    <x:row r="392" ht="82" customHeight="1">
      <x:c r="A392" s="6" t="str">
        <x:v>P0387</x:v>
      </x:c>
      <x:c r="B392" s="6" t="str">
        <x:v>Органик Микс</x:v>
      </x:c>
      <x:c r="C392" s="6" t="str">
        <x:v>Удобрение для хвойных</x:v>
      </x:c>
      <x:c r="D392" s="6" t="str">
        <x:v>Средство для растений/почвы</x:v>
      </x:c>
      <x:c r="E392" s="6" t="str">
        <x:v>Розничный каталог</x:v>
      </x:c>
      <x:c r="F392" s="6" t="str">
        <x:v>C09</x:v>
      </x:c>
      <x:c r="G392" s="6" t="str">
        <x:v>NPK: 6-3-3 Ферментированная мука бобовых, рыбная мука, рыбная костная мука, костная мука обезжиренная, мука люцерны, водоросли морские микронизированные, аминокислоты, витамины. N - 6%, P - 3%, K - 3%, Ca, Mg, S, Zn, Fe, B, Mo</x:v>
      </x:c>
      <x:c r="H392" s="6" t="str">
        <x:v>Есть сведения; см. ограничения</x:v>
      </x:c>
      <x:c r="I392" s="6" t="str">
        <x:v>См. карточку</x:v>
      </x:c>
      <x:c r="J392" s="12" t="n">
        <x:v>5</x:v>
      </x:c>
      <x:c r="K392" s="6" t="str">
        <x:v>См. коды и ограничения на листе «Сопоставления»</x:v>
      </x:c>
      <x:c r="L392" s="6"/>
      <x:c r="M392" s="13" t="str">
        <x:v>https://organic-mix.ru/catalog/udobrenie-dlya-khvoynykh-organik-miks-850-gr/</x:v>
      </x:c>
      <x:c r="N392" s="13"/>
    </x:row>
    <x:row r="393" ht="82" customHeight="1">
      <x:c r="A393" s="9" t="str">
        <x:v>P0388</x:v>
      </x:c>
      <x:c r="B393" s="9" t="str">
        <x:v>Органик Микс</x:v>
      </x:c>
      <x:c r="C393" s="9" t="str">
        <x:v>Удобрение осеннее</x:v>
      </x:c>
      <x:c r="D393" s="9" t="str">
        <x:v>Средство для растений/почвы</x:v>
      </x:c>
      <x:c r="E393" s="9" t="str">
        <x:v>Розничный каталог</x:v>
      </x:c>
      <x:c r="F393" s="9" t="str">
        <x:v>C21</x:v>
      </x:c>
      <x:c r="G393" s="9" t="str">
        <x:v>NPK: 3-5-6 Шелуха бобовых, шелуха какао, рыбная костная мука, костная мука, мука люцерны, шелуха подсолнечника, табак, меласса, экстракт сахарной свеклы, водоросли морские микронизированные N - 3%, P - 5%, K - 6%, Ca , Mg, S, Zn, Fe, B, Mo</x:v>
      </x:c>
      <x:c r="H393" s="9" t="str">
        <x:v>Есть сведения; см. ограничения</x:v>
      </x:c>
      <x:c r="I393" s="9" t="str">
        <x:v>См. карточку</x:v>
      </x:c>
      <x:c r="J393" s="10" t="n">
        <x:v>5</x:v>
      </x:c>
      <x:c r="K393" s="9" t="str">
        <x:v>См. коды и ограничения на листе «Сопоставления»</x:v>
      </x:c>
      <x:c r="L393" s="9"/>
      <x:c r="M393" s="11" t="str">
        <x:v>https://organic-mix.ru/catalog/udobrenie-osennee-organik-miks-850-gr/</x:v>
      </x:c>
      <x:c r="N393" s="11"/>
    </x:row>
    <x:row r="394" ht="110" customHeight="1">
      <x:c r="A394" s="6" t="str">
        <x:v>P0389</x:v>
      </x:c>
      <x:c r="B394" s="6" t="str">
        <x:v>Органик Микс</x:v>
      </x:c>
      <x:c r="C394" s="6" t="str">
        <x:v>Удобрение универсальное</x:v>
      </x:c>
      <x:c r="D394" s="6" t="str">
        <x:v>Средство для растений/почвы</x:v>
      </x:c>
      <x:c r="E394" s="6" t="str">
        <x:v>Розничный каталог</x:v>
      </x:c>
      <x:c r="F394" s="6" t="str">
        <x:v>C01</x:v>
      </x:c>
      <x:c r="G394" s="6" t="str">
        <x:v>NPK - 6-5-2 Ферментированная мука бобовых, перьевая мука, рыбная костная мука, костная мука обезжиренная, жмых рапсовый, меласса, экстракт сахарной свеклы, шелуха какао, жмых кофе, жмых арахиса, мука люцерны, барда кукурузная, барда пшеничная, пивная дробина, водоросли морские микронизированные. N-6%, P-5%, K-2%, Ca , Mg, S, Zn, Fe, B, Mo</x:v>
      </x:c>
      <x:c r="H394" s="6" t="str">
        <x:v>Есть сведения; см. ограничения</x:v>
      </x:c>
      <x:c r="I394" s="6" t="str">
        <x:v>См. карточку</x:v>
      </x:c>
      <x:c r="J394" s="12" t="n">
        <x:v>6</x:v>
      </x:c>
      <x:c r="K394" s="6" t="str">
        <x:v>См. коды и ограничения на листе «Сопоставления»</x:v>
      </x:c>
      <x:c r="L394" s="6"/>
      <x:c r="M394" s="13" t="str">
        <x:v>https://organic-mix.ru/catalog/udobrenie-universalnoe-organik-miks-850-gr/</x:v>
      </x:c>
      <x:c r="N394" s="13"/>
    </x:row>
    <x:row r="395" ht="96" customHeight="1">
      <x:c r="A395" s="9" t="str">
        <x:v>P0390</x:v>
      </x:c>
      <x:c r="B395" s="9" t="str">
        <x:v>Органик Микс</x:v>
      </x:c>
      <x:c r="C395" s="9" t="str">
        <x:v>Ускоритель компостирования</x:v>
      </x:c>
      <x:c r="D395" s="9" t="str">
        <x:v>Средство для растений/почвы</x:v>
      </x:c>
      <x:c r="E395" s="9" t="str">
        <x:v>Розничный каталог</x:v>
      </x:c>
      <x:c r="F395" s="9" t="str">
        <x:v>G11</x:v>
      </x:c>
      <x:c r="G395" s="9" t="str">
        <x:v>Микроорганизмы деструктирующие, денитрифицирующие, увеличивающие содержание азота в органической форме, устраняющие неприятные запахи. Легкие углеводы, сахара, гидролизованный белок, фосфор из органического сырья, гуминовые кислоты. N - 2%, P - 2%, K - 1%, Ca, Mg, S, Zn, Fe, B, Mo</x:v>
      </x:c>
      <x:c r="H395" s="9" t="str">
        <x:v>Есть сведения; см. ограничения</x:v>
      </x:c>
      <x:c r="I395" s="9" t="str">
        <x:v>См. карточку</x:v>
      </x:c>
      <x:c r="J395" s="10" t="n">
        <x:v>3</x:v>
      </x:c>
      <x:c r="K395" s="9" t="str">
        <x:v>См. коды и ограничения на листе «Сопоставления»</x:v>
      </x:c>
      <x:c r="L395" s="9"/>
      <x:c r="M395" s="11" t="str">
        <x:v>https://organic-mix.ru/catalog/uskoritel-kompostirovaniya-4l-organiks-miks/</x:v>
      </x:c>
      <x:c r="N395" s="11"/>
    </x:row>
    <x:row r="396" ht="68" customHeight="1">
      <x:c r="A396" s="6" t="str">
        <x:v>P0391</x:v>
      </x:c>
      <x:c r="B396" s="6" t="str">
        <x:v>Органик Микс</x:v>
      </x:c>
      <x:c r="C396" s="6" t="str">
        <x:v>ФИТОКИЛЛ для Весенней обработки сада</x:v>
      </x:c>
      <x:c r="D396" s="6" t="str">
        <x:v>Средство для растений/почвы</x:v>
      </x:c>
      <x:c r="E396" s="6" t="str">
        <x:v>Розничный каталог</x:v>
      </x:c>
      <x:c r="F396" s="6" t="str">
        <x:v>G17</x:v>
      </x:c>
      <x:c r="G396" s="6" t="str">
        <x:v>Комплекс растительных масел, Д-лимонен (цитрусовый экстракт с инсектицидными и фунгицидными свойствами), эмульгаторы растительного происхождения</x:v>
      </x:c>
      <x:c r="H396" s="6" t="str">
        <x:v>Есть сведения; см. ограничения</x:v>
      </x:c>
      <x:c r="I396" s="6" t="str">
        <x:v>См. карточку</x:v>
      </x:c>
      <x:c r="J396" s="12" t="n">
        <x:v>1</x:v>
      </x:c>
      <x:c r="K396" s="6" t="str">
        <x:v>См. коды и ограничения на листе «Сопоставления»</x:v>
      </x:c>
      <x:c r="L396" s="6"/>
      <x:c r="M396" s="13" t="str">
        <x:v>https://organic-mix.ru/catalog/fitokill-dlya-vesenney-obrabotki-sada-240-ml/</x:v>
      </x:c>
      <x:c r="N396" s="13"/>
    </x:row>
    <x:row r="397" ht="68" customHeight="1">
      <x:c r="A397" s="9" t="str">
        <x:v>P0392</x:v>
      </x:c>
      <x:c r="B397" s="9" t="str">
        <x:v>Органик Микс</x:v>
      </x:c>
      <x:c r="C397" s="9" t="str">
        <x:v>ФИТОСТАРТ Органик Микс</x:v>
      </x:c>
      <x:c r="D397" s="9" t="str">
        <x:v>Средство для растений/почвы</x:v>
      </x:c>
      <x:c r="E397" s="9" t="str">
        <x:v>Розничный каталог</x:v>
      </x:c>
      <x:c r="F397" s="9" t="str">
        <x:v>G40</x:v>
      </x:c>
      <x:c r="G397" s="9" t="str">
        <x:v>100% натуральные растительные экстракты</x:v>
      </x:c>
      <x:c r="H397" s="9" t="str">
        <x:v>Есть сведения; см. ограничения</x:v>
      </x:c>
      <x:c r="I397" s="9" t="str">
        <x:v>См. карточку</x:v>
      </x:c>
      <x:c r="J397" s="10" t="n">
        <x:v>1</x:v>
      </x:c>
      <x:c r="K397" s="9" t="str">
        <x:v>См. коды и ограничения на листе «Сопоставления»</x:v>
      </x:c>
      <x:c r="L397" s="9"/>
      <x:c r="M397" s="11" t="str">
        <x:v>https://organic-mix.ru/catalog/fitostart-0-6-gr-organik-miks/</x:v>
      </x:c>
      <x:c r="N397" s="11"/>
    </x:row>
    <x:row r="398" ht="68" customHeight="1">
      <x:c r="A398" s="6" t="str">
        <x:v>P0393</x:v>
      </x:c>
      <x:c r="B398" s="6" t="str">
        <x:v>Органик Микс</x:v>
      </x:c>
      <x:c r="C398" s="6" t="str">
        <x:v>ШЕФ-КОМПОСТ</x:v>
      </x:c>
      <x:c r="D398" s="6" t="str">
        <x:v>Средство для растений/почвы</x:v>
      </x:c>
      <x:c r="E398" s="6" t="str">
        <x:v>Розничный каталог</x:v>
      </x:c>
      <x:c r="F398" s="6" t="str">
        <x:v>G11</x:v>
      </x:c>
      <x:c r="G398" s="6" t="str">
        <x:v>концентрат гидролизованного животного белка, эукариотические модельные организмы с высокой ферментативной способностью. N - 10%, P - 2%, K - 1%, Ca, Mg, S, Zn, Fe, B, Mo.</x:v>
      </x:c>
      <x:c r="H398" s="6" t="str">
        <x:v>Есть сведения; см. ограничения</x:v>
      </x:c>
      <x:c r="I398" s="6" t="str">
        <x:v>См. карточку</x:v>
      </x:c>
      <x:c r="J398" s="12" t="n">
        <x:v>3</x:v>
      </x:c>
      <x:c r="K398" s="6" t="str">
        <x:v>См. коды и ограничения на листе «Сопоставления»</x:v>
      </x:c>
      <x:c r="L398" s="6"/>
      <x:c r="M398" s="13" t="str">
        <x:v>https://organic-mix.ru/catalog/shef-kompost-850-gr-organik-miks/</x:v>
      </x:c>
      <x:c r="N398" s="13"/>
    </x:row>
    <x:row r="399" ht="68" customHeight="1">
      <x:c r="A399" s="9" t="str">
        <x:v>P0394</x:v>
      </x:c>
      <x:c r="B399" s="9" t="str">
        <x:v>Органик Микс</x:v>
      </x:c>
      <x:c r="C399" s="9" t="str">
        <x:v>ЭЛИКСИР № 1 - Весенний Органик Микс (NEW)</x:v>
      </x:c>
      <x:c r="D399" s="9" t="str">
        <x:v>Средство для растений/почвы</x:v>
      </x:c>
      <x:c r="E399" s="9" t="str">
        <x:v>Розничный каталог</x:v>
      </x:c>
      <x:c r="F399" s="9" t="str">
        <x:v>C22</x:v>
      </x:c>
      <x:c r="G399" s="9" t="str">
        <x:v>NPK: 3-1-6 Натуральные компоненты животного и растительного происхождения.</x:v>
      </x:c>
      <x:c r="H399" s="9" t="str">
        <x:v>Есть сведения; см. ограничения</x:v>
      </x:c>
      <x:c r="I399" s="9" t="str">
        <x:v>Жидкость/концентрат</x:v>
      </x:c>
      <x:c r="J399" s="10" t="n">
        <x:v>2</x:v>
      </x:c>
      <x:c r="K399" s="9" t="str">
        <x:v>См. коды и ограничения на листе «Сопоставления»</x:v>
      </x:c>
      <x:c r="L399" s="9"/>
      <x:c r="M399" s="11" t="str">
        <x:v>https://organic-mix.ru/catalog/eliksir-1-vesenniy-900-ml-organik-miks-new/</x:v>
      </x:c>
      <x:c r="N399" s="11"/>
    </x:row>
    <x:row r="400" ht="68" customHeight="1">
      <x:c r="A400" s="6" t="str">
        <x:v>P0395</x:v>
      </x:c>
      <x:c r="B400" s="6" t="str">
        <x:v>Органик Микс</x:v>
      </x:c>
      <x:c r="C400" s="6" t="str">
        <x:v>ЭЛИКСИР № 1 - для Винограда Органик Микс (NEW)</x:v>
      </x:c>
      <x:c r="D400" s="6" t="str">
        <x:v>Средство для растений/почвы</x:v>
      </x:c>
      <x:c r="E400" s="6" t="str">
        <x:v>Розничный каталог</x:v>
      </x:c>
      <x:c r="F400" s="6" t="str">
        <x:v>C20</x:v>
      </x:c>
      <x:c r="G400" s="6" t="str">
        <x:v>NPK: 3-1-6 Натуральные компоненты животного и растительного происхождения.</x:v>
      </x:c>
      <x:c r="H400" s="6" t="str">
        <x:v>Есть сведения; см. ограничения</x:v>
      </x:c>
      <x:c r="I400" s="6" t="str">
        <x:v>Жидкость/концентрат</x:v>
      </x:c>
      <x:c r="J400" s="12" t="n">
        <x:v>1</x:v>
      </x:c>
      <x:c r="K400" s="6" t="str">
        <x:v>См. коды и ограничения на листе «Сопоставления»</x:v>
      </x:c>
      <x:c r="L400" s="6"/>
      <x:c r="M400" s="13" t="str">
        <x:v>https://organic-mix.ru/catalog/eliksir-1-dlya-vinograda-900-ml-organik-miks-new/</x:v>
      </x:c>
      <x:c r="N400" s="13"/>
    </x:row>
    <x:row r="401" ht="68" customHeight="1">
      <x:c r="A401" s="9" t="str">
        <x:v>P0396</x:v>
      </x:c>
      <x:c r="B401" s="9" t="str">
        <x:v>Органик Микс</x:v>
      </x:c>
      <x:c r="C401" s="9" t="str">
        <x:v>ЭЛИКСИР № 1 - для Голубики Органик Микс (NEW)</x:v>
      </x:c>
      <x:c r="D401" s="9" t="str">
        <x:v>Средство для растений/почвы</x:v>
      </x:c>
      <x:c r="E401" s="9" t="str">
        <x:v>Розничный каталог</x:v>
      </x:c>
      <x:c r="F401" s="9" t="str">
        <x:v>C08</x:v>
      </x:c>
      <x:c r="G401" s="9" t="str">
        <x:v>NPK: 3-2-6 Натуральные компоненты животного и растительного происхождения.</x:v>
      </x:c>
      <x:c r="H401" s="9" t="str">
        <x:v>Есть сведения; см. ограничения</x:v>
      </x:c>
      <x:c r="I401" s="9" t="str">
        <x:v>Жидкость/концентрат</x:v>
      </x:c>
      <x:c r="J401" s="10" t="n">
        <x:v>3</x:v>
      </x:c>
      <x:c r="K401" s="9" t="str">
        <x:v>См. коды и ограничения на листе «Сопоставления»</x:v>
      </x:c>
      <x:c r="L401" s="9"/>
      <x:c r="M401" s="11" t="str">
        <x:v>https://organic-mix.ru/catalog/eliksir-1-dlya-golubiki-5-l-organik-miks-new/</x:v>
      </x:c>
      <x:c r="N401" s="11"/>
    </x:row>
    <x:row r="402" ht="68" customHeight="1">
      <x:c r="A402" s="6" t="str">
        <x:v>P0397</x:v>
      </x:c>
      <x:c r="B402" s="6" t="str">
        <x:v>Органик Микс</x:v>
      </x:c>
      <x:c r="C402" s="6" t="str">
        <x:v>ЭЛИКСИР № 1 - для Гортензии Органик Микс (NEW)</x:v>
      </x:c>
      <x:c r="D402" s="6" t="str">
        <x:v>Средство для растений/почвы</x:v>
      </x:c>
      <x:c r="E402" s="6" t="str">
        <x:v>Розничный каталог</x:v>
      </x:c>
      <x:c r="F402" s="6" t="str">
        <x:v>C07</x:v>
      </x:c>
      <x:c r="G402" s="6" t="str">
        <x:v>NPK: 3-2-6 Натуральные компоненты животного и растительного происхождения</x:v>
      </x:c>
      <x:c r="H402" s="6" t="str">
        <x:v>Есть сведения; см. ограничения</x:v>
      </x:c>
      <x:c r="I402" s="6" t="str">
        <x:v>Жидкость/концентрат</x:v>
      </x:c>
      <x:c r="J402" s="12" t="n">
        <x:v>3</x:v>
      </x:c>
      <x:c r="K402" s="6" t="str">
        <x:v>См. коды и ограничения на листе «Сопоставления»</x:v>
      </x:c>
      <x:c r="L402" s="6"/>
      <x:c r="M402" s="13" t="str">
        <x:v>https://organic-mix.ru/catalog/eliksir-1-dlya-gortenziy-900-ml-new/</x:v>
      </x:c>
      <x:c r="N402" s="13"/>
    </x:row>
    <x:row r="403" ht="68" customHeight="1">
      <x:c r="A403" s="9" t="str">
        <x:v>P0398</x:v>
      </x:c>
      <x:c r="B403" s="9" t="str">
        <x:v>Органик Микс</x:v>
      </x:c>
      <x:c r="C403" s="9" t="str">
        <x:v>ЭЛИКСИР № 1 - для Клематисов Органик Микс (NEW)</x:v>
      </x:c>
      <x:c r="D403" s="9" t="str">
        <x:v>Средство для растений/почвы</x:v>
      </x:c>
      <x:c r="E403" s="9" t="str">
        <x:v>Розничный каталог</x:v>
      </x:c>
      <x:c r="F403" s="9" t="str">
        <x:v>C17</x:v>
      </x:c>
      <x:c r="G403" s="9" t="str">
        <x:v>NPK: 3-1-6 Натуральные компоненты животного и растительного происхождения</x:v>
      </x:c>
      <x:c r="H403" s="9" t="str">
        <x:v>Есть сведения; см. ограничения</x:v>
      </x:c>
      <x:c r="I403" s="9" t="str">
        <x:v>Жидкость/концентрат</x:v>
      </x:c>
      <x:c r="J403" s="10" t="n">
        <x:v>1</x:v>
      </x:c>
      <x:c r="K403" s="9" t="str">
        <x:v>См. коды и ограничения на листе «Сопоставления»</x:v>
      </x:c>
      <x:c r="L403" s="9"/>
      <x:c r="M403" s="11" t="str">
        <x:v>https://organic-mix.ru/catalog/eliksir-1-dlya-klematisov-900-ml-organik-miks-new/</x:v>
      </x:c>
      <x:c r="N403" s="11"/>
    </x:row>
    <x:row r="404" ht="68" customHeight="1">
      <x:c r="A404" s="6" t="str">
        <x:v>P0399</x:v>
      </x:c>
      <x:c r="B404" s="6" t="str">
        <x:v>Органик Микс</x:v>
      </x:c>
      <x:c r="C404" s="6" t="str">
        <x:v>ЭЛИКСИР № 1 - для Клубники Органик Микс (NEW)</x:v>
      </x:c>
      <x:c r="D404" s="6" t="str">
        <x:v>Средство для растений/почвы</x:v>
      </x:c>
      <x:c r="E404" s="6" t="str">
        <x:v>Розничный каталог</x:v>
      </x:c>
      <x:c r="F404" s="6" t="str">
        <x:v>C05</x:v>
      </x:c>
      <x:c r="G404" s="6" t="str">
        <x:v>NPK: 3-1-6 Натуральные компоненты животного и растительного происхождения.</x:v>
      </x:c>
      <x:c r="H404" s="6" t="str">
        <x:v>Есть сведения; см. ограничения</x:v>
      </x:c>
      <x:c r="I404" s="6" t="str">
        <x:v>Жидкость/концентрат</x:v>
      </x:c>
      <x:c r="J404" s="12" t="n">
        <x:v>3</x:v>
      </x:c>
      <x:c r="K404" s="6" t="str">
        <x:v>См. коды и ограничения на листе «Сопоставления»</x:v>
      </x:c>
      <x:c r="L404" s="6"/>
      <x:c r="M404" s="13" t="str">
        <x:v>https://organic-mix.ru/catalog/eliksir-1-dlya-klubniki-900-ml-organik-miks-new/</x:v>
      </x:c>
      <x:c r="N404" s="13"/>
    </x:row>
    <x:row r="405" ht="68" customHeight="1">
      <x:c r="A405" s="9" t="str">
        <x:v>P0400</x:v>
      </x:c>
      <x:c r="B405" s="9" t="str">
        <x:v>Органик Микс</x:v>
      </x:c>
      <x:c r="C405" s="9" t="str">
        <x:v>ЭЛИКСИР № 1 - для Комнатных растений Органик Микс (NEW)</x:v>
      </x:c>
      <x:c r="D405" s="9" t="str">
        <x:v>Средство для растений/почвы</x:v>
      </x:c>
      <x:c r="E405" s="9" t="str">
        <x:v>Розничный каталог</x:v>
      </x:c>
      <x:c r="F405" s="9" t="str">
        <x:v>C11</x:v>
      </x:c>
      <x:c r="G405" s="9" t="str">
        <x:v>NPK: 3-1-6 Натуральные компоненты животного и растительного происхождения.</x:v>
      </x:c>
      <x:c r="H405" s="9" t="str">
        <x:v>Есть сведения; см. ограничения</x:v>
      </x:c>
      <x:c r="I405" s="9" t="str">
        <x:v>Жидкость/концентрат</x:v>
      </x:c>
      <x:c r="J405" s="10" t="n">
        <x:v>2</x:v>
      </x:c>
      <x:c r="K405" s="9" t="str">
        <x:v>См. коды и ограничения на листе «Сопоставления»</x:v>
      </x:c>
      <x:c r="L405" s="9"/>
      <x:c r="M405" s="11" t="str">
        <x:v>https://organic-mix.ru/catalog/eliksir-1-dlya-komnatnykh-rasteniy-900-ml-new/</x:v>
      </x:c>
      <x:c r="N405" s="11"/>
    </x:row>
    <x:row r="406" ht="68" customHeight="1">
      <x:c r="A406" s="6" t="str">
        <x:v>P0401</x:v>
      </x:c>
      <x:c r="B406" s="6" t="str">
        <x:v>Органик Микс</x:v>
      </x:c>
      <x:c r="C406" s="6" t="str">
        <x:v>ЭЛИКСИР № 1 - для Лаванды Органик Микс (NEW)</x:v>
      </x:c>
      <x:c r="D406" s="6" t="str">
        <x:v>Средство для растений/почвы</x:v>
      </x:c>
      <x:c r="E406" s="6" t="str">
        <x:v>Розничный каталог</x:v>
      </x:c>
      <x:c r="F406" s="6" t="str">
        <x:v>C17</x:v>
      </x:c>
      <x:c r="G406" s="6" t="str">
        <x:v>NPK: 3-1-6 Натуральные компоненты животного и растительного происхождения</x:v>
      </x:c>
      <x:c r="H406" s="6" t="str">
        <x:v>Есть сведения; см. ограничения</x:v>
      </x:c>
      <x:c r="I406" s="6" t="str">
        <x:v>Жидкость/концентрат</x:v>
      </x:c>
      <x:c r="J406" s="12" t="n">
        <x:v>1</x:v>
      </x:c>
      <x:c r="K406" s="6" t="str">
        <x:v>См. коды и ограничения на листе «Сопоставления»</x:v>
      </x:c>
      <x:c r="L406" s="6"/>
      <x:c r="M406" s="13" t="str">
        <x:v>https://organic-mix.ru/catalog/eliksir-1-dlya-lavandy-900-ml-organik-miks-new/</x:v>
      </x:c>
      <x:c r="N406" s="13"/>
    </x:row>
    <x:row r="407" ht="68" customHeight="1">
      <x:c r="A407" s="9" t="str">
        <x:v>P0402</x:v>
      </x:c>
      <x:c r="B407" s="9" t="str">
        <x:v>Органик Микс</x:v>
      </x:c>
      <x:c r="C407" s="9" t="str">
        <x:v>ЭЛИКСИР № 1 - для Моркови и Корнеплодов Органик Микс (NEW)</x:v>
      </x:c>
      <x:c r="D407" s="9" t="str">
        <x:v>Средство для растений/почвы</x:v>
      </x:c>
      <x:c r="E407" s="9" t="str">
        <x:v>Розничный каталог</x:v>
      </x:c>
      <x:c r="F407" s="9" t="str">
        <x:v>C19</x:v>
      </x:c>
      <x:c r="G407" s="9" t="str">
        <x:v>NPK: 3-1-6 Натуральные компоненты животного и растительного происхождения</x:v>
      </x:c>
      <x:c r="H407" s="9" t="str">
        <x:v>Есть сведения; см. ограничения</x:v>
      </x:c>
      <x:c r="I407" s="9" t="str">
        <x:v>Жидкость/концентрат</x:v>
      </x:c>
      <x:c r="J407" s="10" t="n">
        <x:v>1</x:v>
      </x:c>
      <x:c r="K407" s="9" t="str">
        <x:v>См. коды и ограничения на листе «Сопоставления»</x:v>
      </x:c>
      <x:c r="L407" s="9"/>
      <x:c r="M407" s="11" t="str">
        <x:v>https://organic-mix.ru/catalog/eliksir-1-dlya-morkovi-i-korneplodov-900-ml-organik-miks-new/</x:v>
      </x:c>
      <x:c r="N407" s="11"/>
    </x:row>
    <x:row r="408" ht="68" customHeight="1">
      <x:c r="A408" s="6" t="str">
        <x:v>P0403</x:v>
      </x:c>
      <x:c r="B408" s="6" t="str">
        <x:v>Органик Микс</x:v>
      </x:c>
      <x:c r="C408" s="6" t="str">
        <x:v>ЭЛИКСИР № 1 - для Овощей Органик Микс (NEW)</x:v>
      </x:c>
      <x:c r="D408" s="6" t="str">
        <x:v>Средство для растений/почвы</x:v>
      </x:c>
      <x:c r="E408" s="6" t="str">
        <x:v>Розничный каталог</x:v>
      </x:c>
      <x:c r="F408" s="6" t="str">
        <x:v>C25</x:v>
      </x:c>
      <x:c r="G408" s="6" t="str">
        <x:v>NPK: 3-1-6 Натуральные компоненты животного и растительного происхождения</x:v>
      </x:c>
      <x:c r="H408" s="6" t="str">
        <x:v>Есть сведения; см. ограничения</x:v>
      </x:c>
      <x:c r="I408" s="6" t="str">
        <x:v>Жидкость/концентрат</x:v>
      </x:c>
      <x:c r="J408" s="12" t="n">
        <x:v>3</x:v>
      </x:c>
      <x:c r="K408" s="6" t="str">
        <x:v>См. коды и ограничения на листе «Сопоставления»</x:v>
      </x:c>
      <x:c r="L408" s="6"/>
      <x:c r="M408" s="13" t="str">
        <x:v>https://organic-mix.ru/catalog/eliksir-1-dlya-ovoshchey-900-ml-new/</x:v>
      </x:c>
      <x:c r="N408" s="13"/>
    </x:row>
    <x:row r="409" ht="68" customHeight="1">
      <x:c r="A409" s="9" t="str">
        <x:v>P0404</x:v>
      </x:c>
      <x:c r="B409" s="9" t="str">
        <x:v>Органик Микс</x:v>
      </x:c>
      <x:c r="C409" s="9" t="str">
        <x:v>ЭЛИКСИР № 1 - для Огурцов Органик Микс (NEW)</x:v>
      </x:c>
      <x:c r="D409" s="9" t="str">
        <x:v>Средство для растений/почвы</x:v>
      </x:c>
      <x:c r="E409" s="9" t="str">
        <x:v>Розничный каталог</x:v>
      </x:c>
      <x:c r="F409" s="9" t="str">
        <x:v>C03</x:v>
      </x:c>
      <x:c r="G409" s="9" t="str">
        <x:v>NPK: 3-1-6 Натуральные компоненты животного и растительного происхождения.</x:v>
      </x:c>
      <x:c r="H409" s="9" t="str">
        <x:v>Есть сведения; см. ограничения</x:v>
      </x:c>
      <x:c r="I409" s="9" t="str">
        <x:v>Жидкость/концентрат</x:v>
      </x:c>
      <x:c r="J409" s="10" t="n">
        <x:v>3</x:v>
      </x:c>
      <x:c r="K409" s="9" t="str">
        <x:v>См. коды и ограничения на листе «Сопоставления»</x:v>
      </x:c>
      <x:c r="L409" s="9"/>
      <x:c r="M409" s="11" t="str">
        <x:v>https://organic-mix.ru/catalog/eliksir-1-dlya-ogurtsov-900-ml-organik-miks-new/</x:v>
      </x:c>
      <x:c r="N409" s="11"/>
    </x:row>
    <x:row r="410" ht="68" customHeight="1">
      <x:c r="A410" s="6" t="str">
        <x:v>P0405</x:v>
      </x:c>
      <x:c r="B410" s="6" t="str">
        <x:v>Органик Микс</x:v>
      </x:c>
      <x:c r="C410" s="6" t="str">
        <x:v>ЭЛИКСИР № 1 - для Перцев Органик Микс (NEW)</x:v>
      </x:c>
      <x:c r="D410" s="6" t="str">
        <x:v>Средство для растений/почвы</x:v>
      </x:c>
      <x:c r="E410" s="6" t="str">
        <x:v>Розничный каталог</x:v>
      </x:c>
      <x:c r="F410" s="6" t="str">
        <x:v>C02</x:v>
      </x:c>
      <x:c r="G410" s="6" t="str">
        <x:v>NPK: 3-1-6 Натуральные компоненты животного и растительного происхождения</x:v>
      </x:c>
      <x:c r="H410" s="6" t="str">
        <x:v>Есть сведения; см. ограничения</x:v>
      </x:c>
      <x:c r="I410" s="6" t="str">
        <x:v>Жидкость/концентрат</x:v>
      </x:c>
      <x:c r="J410" s="12" t="n">
        <x:v>3</x:v>
      </x:c>
      <x:c r="K410" s="6" t="str">
        <x:v>См. коды и ограничения на листе «Сопоставления»</x:v>
      </x:c>
      <x:c r="L410" s="6"/>
      <x:c r="M410" s="13" t="str">
        <x:v>https://organic-mix.ru/catalog/eliksir-1-dlya-pertsev-5-l-organik-miks-new/</x:v>
      </x:c>
      <x:c r="N410" s="13"/>
    </x:row>
    <x:row r="411" ht="68" customHeight="1">
      <x:c r="A411" s="9" t="str">
        <x:v>P0406</x:v>
      </x:c>
      <x:c r="B411" s="9" t="str">
        <x:v>Органик Микс</x:v>
      </x:c>
      <x:c r="C411" s="9" t="str">
        <x:v>ЭЛИКСИР № 1 - для Петуний Органик Микс (NEW)</x:v>
      </x:c>
      <x:c r="D411" s="9" t="str">
        <x:v>Средство для растений/почвы</x:v>
      </x:c>
      <x:c r="E411" s="9" t="str">
        <x:v>Розничный каталог</x:v>
      </x:c>
      <x:c r="F411" s="9" t="str">
        <x:v>C17</x:v>
      </x:c>
      <x:c r="G411" s="9" t="str">
        <x:v>NPK: 3-1-6 Натуральные компоненты животного и растительного происхождения.</x:v>
      </x:c>
      <x:c r="H411" s="9" t="str">
        <x:v>Есть сведения; см. ограничения</x:v>
      </x:c>
      <x:c r="I411" s="9" t="str">
        <x:v>Жидкость/концентрат</x:v>
      </x:c>
      <x:c r="J411" s="10" t="n">
        <x:v>3</x:v>
      </x:c>
      <x:c r="K411" s="9" t="str">
        <x:v>См. коды и ограничения на листе «Сопоставления»</x:v>
      </x:c>
      <x:c r="L411" s="9"/>
      <x:c r="M411" s="11" t="str">
        <x:v>https://organic-mix.ru/catalog/eliksir-1-dlya-petuni-5-l-organik-miks-new/</x:v>
      </x:c>
      <x:c r="N411" s="11"/>
    </x:row>
    <x:row r="412" ht="68" customHeight="1">
      <x:c r="A412" s="6" t="str">
        <x:v>P0407</x:v>
      </x:c>
      <x:c r="B412" s="6" t="str">
        <x:v>Органик Микс</x:v>
      </x:c>
      <x:c r="C412" s="6" t="str">
        <x:v>ЭЛИКСИР № 1 - для Пионов Органик Микс (NEW)</x:v>
      </x:c>
      <x:c r="D412" s="6" t="str">
        <x:v>Средство для растений/почвы</x:v>
      </x:c>
      <x:c r="E412" s="6" t="str">
        <x:v>Розничный каталог</x:v>
      </x:c>
      <x:c r="F412" s="6" t="str">
        <x:v>C06</x:v>
      </x:c>
      <x:c r="G412" s="6" t="str">
        <x:v>NPK: 3-1-6 Натуральные компоненты животного и растительного происхождения</x:v>
      </x:c>
      <x:c r="H412" s="6" t="str">
        <x:v>Есть сведения; см. ограничения</x:v>
      </x:c>
      <x:c r="I412" s="6" t="str">
        <x:v>Жидкость/концентрат</x:v>
      </x:c>
      <x:c r="J412" s="12" t="n">
        <x:v>3</x:v>
      </x:c>
      <x:c r="K412" s="6" t="str">
        <x:v>См. коды и ограничения на листе «Сопоставления»</x:v>
      </x:c>
      <x:c r="L412" s="6"/>
      <x:c r="M412" s="13" t="str">
        <x:v>https://organic-mix.ru/catalog/eliksir-1-dlya-pionov-5-l-organik-miks-new/</x:v>
      </x:c>
      <x:c r="N412" s="13"/>
    </x:row>
    <x:row r="413" ht="68" customHeight="1">
      <x:c r="A413" s="9" t="str">
        <x:v>P0408</x:v>
      </x:c>
      <x:c r="B413" s="9" t="str">
        <x:v>Органик Микс</x:v>
      </x:c>
      <x:c r="C413" s="9" t="str">
        <x:v>ЭЛИКСИР № 1 - для Плодовых деревьев Органик Микс (NEW)</x:v>
      </x:c>
      <x:c r="D413" s="9" t="str">
        <x:v>Средство для растений/почвы</x:v>
      </x:c>
      <x:c r="E413" s="9" t="str">
        <x:v>Розничный каталог</x:v>
      </x:c>
      <x:c r="F413" s="9" t="str">
        <x:v>C20</x:v>
      </x:c>
      <x:c r="G413" s="9" t="str">
        <x:v>NPK: 3-1-6 Натуральные компоненты животного и растительного происхождения.</x:v>
      </x:c>
      <x:c r="H413" s="9" t="str">
        <x:v>Есть сведения; см. ограничения</x:v>
      </x:c>
      <x:c r="I413" s="9" t="str">
        <x:v>Жидкость/концентрат</x:v>
      </x:c>
      <x:c r="J413" s="10" t="n">
        <x:v>3</x:v>
      </x:c>
      <x:c r="K413" s="9" t="str">
        <x:v>См. коды и ограничения на листе «Сопоставления»</x:v>
      </x:c>
      <x:c r="L413" s="9"/>
      <x:c r="M413" s="11" t="str">
        <x:v>https://organic-mix.ru/catalog/eliksir-1-dlya-plodovykh-derevev-5-l-organik-miks-new/</x:v>
      </x:c>
      <x:c r="N413" s="11"/>
    </x:row>
    <x:row r="414" ht="68" customHeight="1">
      <x:c r="A414" s="6" t="str">
        <x:v>P0409</x:v>
      </x:c>
      <x:c r="B414" s="6" t="str">
        <x:v>Органик Микс</x:v>
      </x:c>
      <x:c r="C414" s="6" t="str">
        <x:v>ЭЛИКСИР № 1 - для Рассады Органик Микс (NEW)</x:v>
      </x:c>
      <x:c r="D414" s="6" t="str">
        <x:v>Средство для растений/почвы</x:v>
      </x:c>
      <x:c r="E414" s="6" t="str">
        <x:v>Розничный каталог</x:v>
      </x:c>
      <x:c r="F414" s="6" t="str">
        <x:v>C04</x:v>
      </x:c>
      <x:c r="G414" s="6" t="str">
        <x:v>NPK: 3-1-1 Натуральные компоненты животного и растительного происхождения.</x:v>
      </x:c>
      <x:c r="H414" s="6" t="str">
        <x:v>Есть сведения; см. ограничения</x:v>
      </x:c>
      <x:c r="I414" s="6" t="str">
        <x:v>Жидкость/концентрат</x:v>
      </x:c>
      <x:c r="J414" s="12" t="n">
        <x:v>3</x:v>
      </x:c>
      <x:c r="K414" s="6" t="str">
        <x:v>См. коды и ограничения на листе «Сопоставления»</x:v>
      </x:c>
      <x:c r="L414" s="6"/>
      <x:c r="M414" s="13" t="str">
        <x:v>https://organic-mix.ru/catalog/eliksir-1-dlya-rassady-900-ml-new/</x:v>
      </x:c>
      <x:c r="N414" s="13"/>
    </x:row>
    <x:row r="415" ht="68" customHeight="1">
      <x:c r="A415" s="9" t="str">
        <x:v>P0410</x:v>
      </x:c>
      <x:c r="B415" s="9" t="str">
        <x:v>Органик Микс</x:v>
      </x:c>
      <x:c r="C415" s="9" t="str">
        <x:v>ЭЛИКСИР № 1 - для Роз Органик Микс (NEW)</x:v>
      </x:c>
      <x:c r="D415" s="9" t="str">
        <x:v>Средство для растений/почвы</x:v>
      </x:c>
      <x:c r="E415" s="9" t="str">
        <x:v>Розничный каталог</x:v>
      </x:c>
      <x:c r="F415" s="9" t="str">
        <x:v>C06</x:v>
      </x:c>
      <x:c r="G415" s="9" t="str">
        <x:v>NPK: 3-1-6 Натуральные компоненты животного и растительного происхождения.</x:v>
      </x:c>
      <x:c r="H415" s="9" t="str">
        <x:v>Есть сведения; см. ограничения</x:v>
      </x:c>
      <x:c r="I415" s="9" t="str">
        <x:v>Жидкость/концентрат</x:v>
      </x:c>
      <x:c r="J415" s="10" t="n">
        <x:v>3</x:v>
      </x:c>
      <x:c r="K415" s="9" t="str">
        <x:v>См. коды и ограничения на листе «Сопоставления»</x:v>
      </x:c>
      <x:c r="L415" s="9"/>
      <x:c r="M415" s="11" t="str">
        <x:v>https://organic-mix.ru/catalog/eliksir-1-dlya-roz-900-ml-organik-miks-new/</x:v>
      </x:c>
      <x:c r="N415" s="11"/>
    </x:row>
    <x:row r="416" ht="68" customHeight="1">
      <x:c r="A416" s="6" t="str">
        <x:v>P0411</x:v>
      </x:c>
      <x:c r="B416" s="6" t="str">
        <x:v>Органик Микс</x:v>
      </x:c>
      <x:c r="C416" s="6" t="str">
        <x:v>ЭЛИКСИР № 1 - для Томатов Органик Микс (NEW)</x:v>
      </x:c>
      <x:c r="D416" s="6" t="str">
        <x:v>Средство для растений/почвы</x:v>
      </x:c>
      <x:c r="E416" s="6" t="str">
        <x:v>Розничный каталог</x:v>
      </x:c>
      <x:c r="F416" s="6" t="str">
        <x:v>C02</x:v>
      </x:c>
      <x:c r="G416" s="6" t="str">
        <x:v>NPK: 3-1-6 Натуральные компоненты животного и растительного происхождения</x:v>
      </x:c>
      <x:c r="H416" s="6" t="str">
        <x:v>Есть сведения; см. ограничения</x:v>
      </x:c>
      <x:c r="I416" s="6" t="str">
        <x:v>Жидкость/концентрат</x:v>
      </x:c>
      <x:c r="J416" s="12" t="n">
        <x:v>3</x:v>
      </x:c>
      <x:c r="K416" s="6" t="str">
        <x:v>См. коды и ограничения на листе «Сопоставления»</x:v>
      </x:c>
      <x:c r="L416" s="6"/>
      <x:c r="M416" s="13" t="str">
        <x:v>https://organic-mix.ru/catalog/eliksir-1-dlya-tomatov-900-ml-new/</x:v>
      </x:c>
      <x:c r="N416" s="13"/>
    </x:row>
    <x:row r="417" ht="68" customHeight="1">
      <x:c r="A417" s="9" t="str">
        <x:v>P0412</x:v>
      </x:c>
      <x:c r="B417" s="9" t="str">
        <x:v>Органик Микс</x:v>
      </x:c>
      <x:c r="C417" s="9" t="str">
        <x:v>ЭЛИКСИР № 1 - для Туи Органик Микс (NEW)</x:v>
      </x:c>
      <x:c r="D417" s="9" t="str">
        <x:v>Средство для растений/почвы</x:v>
      </x:c>
      <x:c r="E417" s="9" t="str">
        <x:v>Розничный каталог</x:v>
      </x:c>
      <x:c r="F417" s="9" t="str">
        <x:v>C09</x:v>
      </x:c>
      <x:c r="G417" s="9" t="str">
        <x:v>NPK: 3-1-6 Натуральные компоненты животного и растительного происхождения</x:v>
      </x:c>
      <x:c r="H417" s="9" t="str">
        <x:v>Есть сведения; см. ограничения</x:v>
      </x:c>
      <x:c r="I417" s="9" t="str">
        <x:v>Жидкость/концентрат</x:v>
      </x:c>
      <x:c r="J417" s="10" t="n">
        <x:v>3</x:v>
      </x:c>
      <x:c r="K417" s="9" t="str">
        <x:v>См. коды и ограничения на листе «Сопоставления»</x:v>
      </x:c>
      <x:c r="L417" s="9"/>
      <x:c r="M417" s="11" t="str">
        <x:v>https://organic-mix.ru/catalog/eliksir-1-dlya-tui-5-l-organik-miks-new/</x:v>
      </x:c>
      <x:c r="N417" s="11"/>
    </x:row>
    <x:row r="418" ht="68" customHeight="1">
      <x:c r="A418" s="6" t="str">
        <x:v>P0413</x:v>
      </x:c>
      <x:c r="B418" s="6" t="str">
        <x:v>Органик Микс</x:v>
      </x:c>
      <x:c r="C418" s="6" t="str">
        <x:v>ЭЛИКСИР № 1 - для Тюльпанов и Луковичных цветов Органик Микс (NEW)</x:v>
      </x:c>
      <x:c r="D418" s="6" t="str">
        <x:v>Средство для растений/почвы</x:v>
      </x:c>
      <x:c r="E418" s="6" t="str">
        <x:v>Розничный каталог</x:v>
      </x:c>
      <x:c r="F418" s="6" t="str">
        <x:v>C17; C26</x:v>
      </x:c>
      <x:c r="G418" s="6" t="str">
        <x:v>NPK: 3-1-6 Натуральные компоненты животного и растительного происхождения.</x:v>
      </x:c>
      <x:c r="H418" s="6" t="str">
        <x:v>Есть сведения; см. ограничения</x:v>
      </x:c>
      <x:c r="I418" s="6" t="str">
        <x:v>Жидкость/концентрат</x:v>
      </x:c>
      <x:c r="J418" s="12" t="n">
        <x:v>1</x:v>
      </x:c>
      <x:c r="K418" s="6" t="str">
        <x:v>См. коды и ограничения на листе «Сопоставления»</x:v>
      </x:c>
      <x:c r="L418" s="6"/>
      <x:c r="M418" s="13" t="str">
        <x:v>https://organic-mix.ru/catalog/eliksir-1-dlya-tyulpanov-i-lukovichnykh-tsvetov-900-ml-organik-miks-new/</x:v>
      </x:c>
      <x:c r="N418" s="13"/>
    </x:row>
    <x:row r="419" ht="68" customHeight="1">
      <x:c r="A419" s="9" t="str">
        <x:v>P0414</x:v>
      </x:c>
      <x:c r="B419" s="9" t="str">
        <x:v>Органик Микс</x:v>
      </x:c>
      <x:c r="C419" s="9" t="str">
        <x:v>ЭЛИКСИР № 1 - для Фикусов и Пальм Органик Микс (NEW)</x:v>
      </x:c>
      <x:c r="D419" s="9" t="str">
        <x:v>Средство для растений/почвы</x:v>
      </x:c>
      <x:c r="E419" s="9" t="str">
        <x:v>Розничный каталог</x:v>
      </x:c>
      <x:c r="F419" s="9" t="str">
        <x:v>C13</x:v>
      </x:c>
      <x:c r="G419" s="9" t="str">
        <x:v>NPK: 3-1-6 Натуральные компоненты животного и растительного происхождения.</x:v>
      </x:c>
      <x:c r="H419" s="9" t="str">
        <x:v>Есть сведения; см. ограничения</x:v>
      </x:c>
      <x:c r="I419" s="9" t="str">
        <x:v>Жидкость/концентрат</x:v>
      </x:c>
      <x:c r="J419" s="10" t="n">
        <x:v>2</x:v>
      </x:c>
      <x:c r="K419" s="9" t="str">
        <x:v>См. коды и ограничения на листе «Сопоставления»</x:v>
      </x:c>
      <x:c r="L419" s="9"/>
      <x:c r="M419" s="11" t="str">
        <x:v>https://organic-mix.ru/catalog/eliksir-1-dlya-fikusov-i-palm-900-ml-new/</x:v>
      </x:c>
      <x:c r="N419" s="11"/>
    </x:row>
    <x:row r="420" ht="68" customHeight="1">
      <x:c r="A420" s="6" t="str">
        <x:v>P0415</x:v>
      </x:c>
      <x:c r="B420" s="6" t="str">
        <x:v>Органик Микс</x:v>
      </x:c>
      <x:c r="C420" s="6" t="str">
        <x:v>ЭЛИКСИР № 1 - для Хвойных Органик Микс (NEW)</x:v>
      </x:c>
      <x:c r="D420" s="6" t="str">
        <x:v>Средство для растений/почвы</x:v>
      </x:c>
      <x:c r="E420" s="6" t="str">
        <x:v>Розничный каталог</x:v>
      </x:c>
      <x:c r="F420" s="6" t="str">
        <x:v>C09</x:v>
      </x:c>
      <x:c r="G420" s="6" t="str">
        <x:v>NPK: 3-1-6 Натуральные компоненты животного и растительного происхождения.</x:v>
      </x:c>
      <x:c r="H420" s="6" t="str">
        <x:v>Есть сведения; см. ограничения</x:v>
      </x:c>
      <x:c r="I420" s="6" t="str">
        <x:v>Жидкость/концентрат</x:v>
      </x:c>
      <x:c r="J420" s="12" t="n">
        <x:v>3</x:v>
      </x:c>
      <x:c r="K420" s="6" t="str">
        <x:v>См. коды и ограничения на листе «Сопоставления»</x:v>
      </x:c>
      <x:c r="L420" s="6"/>
      <x:c r="M420" s="13" t="str">
        <x:v>https://organic-mix.ru/catalog/eliksir-1-dlya-khvoynykh-5-l-organik-miks-new/</x:v>
      </x:c>
      <x:c r="N420" s="13"/>
    </x:row>
    <x:row r="421" ht="68" customHeight="1">
      <x:c r="A421" s="9" t="str">
        <x:v>P0416</x:v>
      </x:c>
      <x:c r="B421" s="9" t="str">
        <x:v>Органик Микс</x:v>
      </x:c>
      <x:c r="C421" s="9" t="str">
        <x:v>ЭЛИКСИР № 1 - для Цветов Органик Микс (NEW)</x:v>
      </x:c>
      <x:c r="D421" s="9" t="str">
        <x:v>Средство для растений/почвы</x:v>
      </x:c>
      <x:c r="E421" s="9" t="str">
        <x:v>Розничный каталог</x:v>
      </x:c>
      <x:c r="F421" s="9" t="str">
        <x:v>C17</x:v>
      </x:c>
      <x:c r="G421" s="9" t="str">
        <x:v>NPK: 3-1-6 Натуральные компоненты животного и растительного происхождения</x:v>
      </x:c>
      <x:c r="H421" s="9" t="str">
        <x:v>Есть сведения; см. ограничения</x:v>
      </x:c>
      <x:c r="I421" s="9" t="str">
        <x:v>Жидкость/концентрат</x:v>
      </x:c>
      <x:c r="J421" s="10" t="n">
        <x:v>3</x:v>
      </x:c>
      <x:c r="K421" s="9" t="str">
        <x:v>См. коды и ограничения на листе «Сопоставления»</x:v>
      </x:c>
      <x:c r="L421" s="9"/>
      <x:c r="M421" s="11" t="str">
        <x:v>https://organic-mix.ru/catalog/eliksir-1-dlya-tsvetov-900-ml-new/</x:v>
      </x:c>
      <x:c r="N421" s="11"/>
    </x:row>
    <x:row r="422" ht="68" customHeight="1">
      <x:c r="A422" s="6" t="str">
        <x:v>P0417</x:v>
      </x:c>
      <x:c r="B422" s="6" t="str">
        <x:v>Органик Микс</x:v>
      </x:c>
      <x:c r="C422" s="6" t="str">
        <x:v>ЭЛИКСИР № 1 - для Чеснока и Лука Органик Микс (NEW)</x:v>
      </x:c>
      <x:c r="D422" s="6" t="str">
        <x:v>Средство для растений/почвы</x:v>
      </x:c>
      <x:c r="E422" s="6" t="str">
        <x:v>Розничный каталог</x:v>
      </x:c>
      <x:c r="F422" s="6" t="str">
        <x:v>—</x:v>
      </x:c>
      <x:c r="G422" s="6" t="str">
        <x:v>NPK: 3-1-6 Натуральные компоненты животного и растительного происхождения.</x:v>
      </x:c>
      <x:c r="H422" s="6" t="str">
        <x:v>Есть сведения; см. ограничения</x:v>
      </x:c>
      <x:c r="I422" s="6" t="str">
        <x:v>Жидкость/концентрат</x:v>
      </x:c>
      <x:c r="J422" s="12" t="n">
        <x:v>1</x:v>
      </x:c>
      <x:c r="K422" s="6" t="str">
        <x:v>Близкий аналог не подтвержден</x:v>
      </x:c>
      <x:c r="L422" s="6"/>
      <x:c r="M422" s="13" t="str">
        <x:v>https://organic-mix.ru/catalog/eliksir-1-dlya-chesnoka-i-luka-900-ml-organik-miks-new/</x:v>
      </x:c>
      <x:c r="N422" s="13"/>
    </x:row>
    <x:row r="423" ht="68" customHeight="1">
      <x:c r="A423" s="9" t="str">
        <x:v>P0418</x:v>
      </x:c>
      <x:c r="B423" s="9" t="str">
        <x:v>Органик Микс</x:v>
      </x:c>
      <x:c r="C423" s="9" t="str">
        <x:v>ЭЛИКСИР № 1 - Универсальный Органик Микс (NEW)</x:v>
      </x:c>
      <x:c r="D423" s="9" t="str">
        <x:v>Средство для растений/почвы</x:v>
      </x:c>
      <x:c r="E423" s="9" t="str">
        <x:v>Розничный каталог</x:v>
      </x:c>
      <x:c r="F423" s="9" t="str">
        <x:v>C01</x:v>
      </x:c>
      <x:c r="G423" s="9" t="str">
        <x:v>NPK: 3-1-6 Натуральные компоненты животного и растительного происхождения.</x:v>
      </x:c>
      <x:c r="H423" s="9" t="str">
        <x:v>Есть сведения; см. ограничения</x:v>
      </x:c>
      <x:c r="I423" s="9" t="str">
        <x:v>Жидкость/концентрат</x:v>
      </x:c>
      <x:c r="J423" s="10" t="n">
        <x:v>3</x:v>
      </x:c>
      <x:c r="K423" s="9" t="str">
        <x:v>См. коды и ограничения на листе «Сопоставления»</x:v>
      </x:c>
      <x:c r="L423" s="9"/>
      <x:c r="M423" s="11" t="str">
        <x:v>https://organic-mix.ru/catalog/eliksir-1-universalnyy-900-ml-new/</x:v>
      </x:c>
      <x:c r="N423" s="11"/>
    </x:row>
    <x:row r="424" ht="68" customHeight="1">
      <x:c r="A424" s="6" t="str">
        <x:v>P0419</x:v>
      </x:c>
      <x:c r="B424" s="6" t="str">
        <x:v>Органик Микс</x:v>
      </x:c>
      <x:c r="C424" s="6" t="str">
        <x:v>Эликсир № 1 для лимонов</x:v>
      </x:c>
      <x:c r="D424" s="6" t="str">
        <x:v>Средство для растений/почвы</x:v>
      </x:c>
      <x:c r="E424" s="6" t="str">
        <x:v>Розничный каталог</x:v>
      </x:c>
      <x:c r="F424" s="6" t="str">
        <x:v>C16</x:v>
      </x:c>
      <x:c r="G424" s="6" t="str">
        <x:v>NPK: 2-2-4 Натуральные концентрированные растительные экстракты глубокой ферментации. Легкоусваиваемая форма N-P-K 2-2-4, Fe, Zn, Ca, Mg, фульвовые и гуминовые кислоты, фитогормоны, аминокислоты.</x:v>
      </x:c>
      <x:c r="H424" s="6" t="str">
        <x:v>Есть сведения; см. ограничения</x:v>
      </x:c>
      <x:c r="I424" s="6" t="str">
        <x:v>Жидкость/концентрат</x:v>
      </x:c>
      <x:c r="J424" s="12" t="n">
        <x:v>1</x:v>
      </x:c>
      <x:c r="K424" s="6" t="str">
        <x:v>См. коды и ограничения на листе «Сопоставления»</x:v>
      </x:c>
      <x:c r="L424" s="6"/>
      <x:c r="M424" s="13" t="str">
        <x:v>https://organic-mix.ru/catalog/eliksir-1-dlya-limonov-i-tsitrusovykh/</x:v>
      </x:c>
      <x:c r="N424" s="13"/>
    </x:row>
    <x:row r="425" ht="68" customHeight="1">
      <x:c r="A425" s="9" t="str">
        <x:v>P0420</x:v>
      </x:c>
      <x:c r="B425" s="9" t="str">
        <x:v>Органик Микс</x:v>
      </x:c>
      <x:c r="C425" s="9" t="str">
        <x:v>Эликсир № 1 для овощей</x:v>
      </x:c>
      <x:c r="D425" s="9" t="str">
        <x:v>Средство для растений/почвы</x:v>
      </x:c>
      <x:c r="E425" s="9" t="str">
        <x:v>Розничный каталог</x:v>
      </x:c>
      <x:c r="F425" s="9" t="str">
        <x:v>C25</x:v>
      </x:c>
      <x:c r="G425" s="9" t="str">
        <x:v>NPK: 3-2-6 Натуральные концентрированные растительные экстракты глубокой ферментации. Легкоусваиваемая форма NPK 3-2-6 , Mg, Ca, S, Fe, Zn, фульвовые и гуминовые кислоты, витамины, аминокислоты.</x:v>
      </x:c>
      <x:c r="H425" s="9" t="str">
        <x:v>Есть сведения; см. ограничения</x:v>
      </x:c>
      <x:c r="I425" s="9" t="str">
        <x:v>Жидкость/концентрат</x:v>
      </x:c>
      <x:c r="J425" s="10" t="n">
        <x:v>2</x:v>
      </x:c>
      <x:c r="K425" s="9" t="str">
        <x:v>См. коды и ограничения на листе «Сопоставления»</x:v>
      </x:c>
      <x:c r="L425" s="9"/>
      <x:c r="M425" s="11" t="str">
        <x:v>https://organic-mix.ru/catalog/eliksir-1-dlya-ovoshchey-900-ml-organik-miks/</x:v>
      </x:c>
      <x:c r="N425" s="11"/>
    </x:row>
    <x:row r="426" ht="68" customHeight="1">
      <x:c r="A426" s="6" t="str">
        <x:v>P0421</x:v>
      </x:c>
      <x:c r="B426" s="6" t="str">
        <x:v>Органик Микс</x:v>
      </x:c>
      <x:c r="C426" s="6" t="str">
        <x:v>Эликсир № 1 для ягодных</x:v>
      </x:c>
      <x:c r="D426" s="6" t="str">
        <x:v>Средство для растений/почвы</x:v>
      </x:c>
      <x:c r="E426" s="6" t="str">
        <x:v>Розничный каталог</x:v>
      </x:c>
      <x:c r="F426" s="6" t="str">
        <x:v>C05</x:v>
      </x:c>
      <x:c r="G426" s="6" t="str">
        <x:v>NPK: 3-1-5 Натуральные концентрированные растительные экстракты глубокой ферментации. Легкоусваиваемая форма N-P-K 3-1-5, Fe, Zn, Ca, Mg, фульвовые и гуминовые кислоты, фитогормоны, аминокислоты.</x:v>
      </x:c>
      <x:c r="H426" s="6" t="str">
        <x:v>Есть сведения; см. ограничения</x:v>
      </x:c>
      <x:c r="I426" s="6" t="str">
        <x:v>Жидкость/концентрат</x:v>
      </x:c>
      <x:c r="J426" s="12" t="n">
        <x:v>2</x:v>
      </x:c>
      <x:c r="K426" s="6" t="str">
        <x:v>См. коды и ограничения на листе «Сопоставления»</x:v>
      </x:c>
      <x:c r="L426" s="6"/>
      <x:c r="M426" s="13" t="str">
        <x:v>https://organic-mix.ru/catalog/eliksir-1-dlya-yagodnykh-900-ml-organik-miks/</x:v>
      </x:c>
      <x:c r="N426" s="13"/>
    </x:row>
    <x:row r="427" ht="68" customHeight="1">
      <x:c r="A427" s="9" t="str">
        <x:v>P0422</x:v>
      </x:c>
      <x:c r="B427" s="9" t="str">
        <x:v>Органик Микс</x:v>
      </x:c>
      <x:c r="C427" s="9" t="str">
        <x:v>Эликсир № 1 осенний</x:v>
      </x:c>
      <x:c r="D427" s="9" t="str">
        <x:v>Средство для растений/почвы</x:v>
      </x:c>
      <x:c r="E427" s="9" t="str">
        <x:v>Розничный каталог</x:v>
      </x:c>
      <x:c r="F427" s="9" t="str">
        <x:v>C21</x:v>
      </x:c>
      <x:c r="G427" s="9" t="str">
        <x:v>NPK: 2-2-4 Натуральные концентрированные растительные экстракты глубокой ферментации. Легкоусваиваемая форма N-P-K 2-2-4, Fe, Zn, Ca, Mg, фульвовые и гуминовые кислоты, фитогормоны, аминокислоты.</x:v>
      </x:c>
      <x:c r="H427" s="9" t="str">
        <x:v>Есть сведения; см. ограничения</x:v>
      </x:c>
      <x:c r="I427" s="9" t="str">
        <x:v>Жидкость/концентрат</x:v>
      </x:c>
      <x:c r="J427" s="10" t="n">
        <x:v>3</x:v>
      </x:c>
      <x:c r="K427" s="9" t="str">
        <x:v>См. коды и ограничения на листе «Сопоставления»</x:v>
      </x:c>
      <x:c r="L427" s="9"/>
      <x:c r="M427" s="11" t="str">
        <x:v>https://organic-mix.ru/catalog/eliksir-1-osenniy-900-ml-organik-miks/</x:v>
      </x:c>
      <x:c r="N427" s="11"/>
    </x:row>
    <x:row r="428" ht="68" customHeight="1">
      <x:c r="A428" s="6" t="str">
        <x:v>P0423</x:v>
      </x:c>
      <x:c r="B428" s="6" t="str">
        <x:v>Органик Микс</x:v>
      </x:c>
      <x:c r="C428" s="6" t="str">
        <x:v>ЭМ-патока</x:v>
      </x:c>
      <x:c r="D428" s="6" t="str">
        <x:v>Средство для растений/почвы</x:v>
      </x:c>
      <x:c r="E428" s="6" t="str">
        <x:v>Розничный каталог</x:v>
      </x:c>
      <x:c r="F428" s="6" t="str">
        <x:v>—</x:v>
      </x:c>
      <x:c r="G428" s="6" t="str">
        <x:v>100% меласса - патока сахарной свёклы. Содержит K, Ca, Fe, Mg и другие микроэлементы, фульвовые и гуминовые кислоты, аминокислоты, витамины.</x:v>
      </x:c>
      <x:c r="H428" s="6" t="str">
        <x:v>Есть сведения; см. ограничения</x:v>
      </x:c>
      <x:c r="I428" s="6" t="str">
        <x:v>См. карточку</x:v>
      </x:c>
      <x:c r="J428" s="12" t="n">
        <x:v>2</x:v>
      </x:c>
      <x:c r="K428" s="6" t="str">
        <x:v>Близкий аналог не подтвержден</x:v>
      </x:c>
      <x:c r="L428" s="6"/>
      <x:c r="M428" s="13" t="str">
        <x:v>https://organic-mix.ru/catalog/em-patoka-900-ml-organik-miks/</x:v>
      </x:c>
      <x:c r="N428" s="13"/>
    </x:row>
    <x:row r="429" ht="68" customHeight="1">
      <x:c r="A429" s="9" t="str">
        <x:v>P0424</x:v>
      </x:c>
      <x:c r="B429" s="9" t="str">
        <x:v>Органик Микс</x:v>
      </x:c>
      <x:c r="C429" s="9" t="str">
        <x:v>Энергетик для растений ФИШЭНЕРДЖИ</x:v>
      </x:c>
      <x:c r="D429" s="9" t="str">
        <x:v>Средство для растений/почвы</x:v>
      </x:c>
      <x:c r="E429" s="9" t="str">
        <x:v>Розничный каталог</x:v>
      </x:c>
      <x:c r="F429" s="9" t="str">
        <x:v>G25</x:v>
      </x:c>
      <x:c r="G429" s="9" t="str">
        <x:v>100% натуральный состав на основе компонентов, полученных при глубокой переработке рыбы.</x:v>
      </x:c>
      <x:c r="H429" s="9" t="str">
        <x:v>Есть сведения; см. ограничения</x:v>
      </x:c>
      <x:c r="I429" s="9" t="str">
        <x:v>См. карточку</x:v>
      </x:c>
      <x:c r="J429" s="10" t="n">
        <x:v>5</x:v>
      </x:c>
      <x:c r="K429" s="9" t="str">
        <x:v>См. коды и ограничения на листе «Сопоставления»</x:v>
      </x:c>
      <x:c r="L429" s="9"/>
      <x:c r="M429" s="11" t="str">
        <x:v>https://organic-mix.ru/catalog/fishenerdzhi-30-gr-organik-miks-/</x:v>
      </x:c>
      <x:c r="N429" s="11"/>
    </x:row>
    <x:row r="430" ht="68" customHeight="1">
      <x:c r="A430" s="6" t="str">
        <x:v>P0425</x:v>
      </x:c>
      <x:c r="B430" s="6" t="str">
        <x:v>Органик Микс</x:v>
      </x:c>
      <x:c r="C430" s="6" t="str">
        <x:v>ЯЙЦЕХРУСТ для комнатных растений – от вредителей на стадии яиц, личинок и куколок</x:v>
      </x:c>
      <x:c r="D430" s="6" t="str">
        <x:v>Средство для растений/почвы</x:v>
      </x:c>
      <x:c r="E430" s="6" t="str">
        <x:v>Розничный каталог</x:v>
      </x:c>
      <x:c r="F430" s="6" t="str">
        <x:v>—</x:v>
      </x:c>
      <x:c r="G430" s="6" t="str">
        <x:v>100% натуральные растительные экстракты и масла</x:v>
      </x:c>
      <x:c r="H430" s="6" t="str">
        <x:v>Есть сведения; см. ограничения</x:v>
      </x:c>
      <x:c r="I430" s="6" t="str">
        <x:v>См. карточку</x:v>
      </x:c>
      <x:c r="J430" s="12" t="n">
        <x:v>1</x:v>
      </x:c>
      <x:c r="K430" s="6" t="str">
        <x:v>Близкий аналог не подтвержден</x:v>
      </x:c>
      <x:c r="L430" s="6"/>
      <x:c r="M430" s="13" t="str">
        <x:v>https://organic-mix.ru/catalog/yaytsekhrust-dlya-komnatnykh-rasteniy-15-ml/</x:v>
      </x:c>
      <x:c r="N430" s="13"/>
    </x:row>
    <x:row r="431" ht="68" customHeight="1">
      <x:c r="A431" s="9" t="str">
        <x:v>P0426</x:v>
      </x:c>
      <x:c r="B431" s="9" t="str">
        <x:v>Органик Микс</x:v>
      </x:c>
      <x:c r="C431" s="9" t="str">
        <x:v>ЯЙЦЕХРУСТ для рассады – от вредителей на стадии яиц, личинок и куколок</x:v>
      </x:c>
      <x:c r="D431" s="9" t="str">
        <x:v>Средство для растений/почвы</x:v>
      </x:c>
      <x:c r="E431" s="9" t="str">
        <x:v>Розничный каталог</x:v>
      </x:c>
      <x:c r="F431" s="9" t="str">
        <x:v>—</x:v>
      </x:c>
      <x:c r="G431" s="9" t="str">
        <x:v>100% натуральные растительные экстракты и масла</x:v>
      </x:c>
      <x:c r="H431" s="9" t="str">
        <x:v>Есть сведения; см. ограничения</x:v>
      </x:c>
      <x:c r="I431" s="9" t="str">
        <x:v>См. карточку</x:v>
      </x:c>
      <x:c r="J431" s="10" t="n">
        <x:v>1</x:v>
      </x:c>
      <x:c r="K431" s="9" t="str">
        <x:v>Близкий аналог не подтвержден</x:v>
      </x:c>
      <x:c r="L431" s="9"/>
      <x:c r="M431" s="11" t="str">
        <x:v>https://organic-mix.ru/catalog/yaytsekhrust-dlya-rassady-15-ml/</x:v>
      </x:c>
      <x:c r="N431" s="11"/>
    </x:row>
    <x:row r="432" ht="68" customHeight="1">
      <x:c r="A432" s="6" t="str">
        <x:v>P0427</x:v>
      </x:c>
      <x:c r="B432" s="6" t="str">
        <x:v>Органик Микс</x:v>
      </x:c>
      <x:c r="C432" s="6" t="str">
        <x:v>ЯЙЦЕХРУСТ для теплиц</x:v>
      </x:c>
      <x:c r="D432" s="6" t="str">
        <x:v>Средство для растений/почвы</x:v>
      </x:c>
      <x:c r="E432" s="6" t="str">
        <x:v>Розничный каталог</x:v>
      </x:c>
      <x:c r="F432" s="6" t="str">
        <x:v>—</x:v>
      </x:c>
      <x:c r="G432" s="6" t="str">
        <x:v>100% натуральные растительные экстракты и масла</x:v>
      </x:c>
      <x:c r="H432" s="6" t="str">
        <x:v>Есть сведения; см. ограничения</x:v>
      </x:c>
      <x:c r="I432" s="6" t="str">
        <x:v>См. карточку</x:v>
      </x:c>
      <x:c r="J432" s="12" t="n">
        <x:v>2</x:v>
      </x:c>
      <x:c r="K432" s="6" t="str">
        <x:v>Близкий аналог не подтвержден</x:v>
      </x:c>
      <x:c r="L432" s="6"/>
      <x:c r="M432" s="13" t="str">
        <x:v>https://organic-mix.ru/catalog/yaytsekhrust-dlya-teplits-150-ml/</x:v>
      </x:c>
      <x:c r="N432" s="13"/>
    </x:row>
    <x:row r="433" ht="68" customHeight="1">
      <x:c r="A433" s="9" t="str">
        <x:v>P0428</x:v>
      </x:c>
      <x:c r="B433" s="9" t="str">
        <x:v>Органик Микс</x:v>
      </x:c>
      <x:c r="C433" s="9" t="str">
        <x:v>ЯЙЦЕХРУСТ универсальный</x:v>
      </x:c>
      <x:c r="D433" s="9" t="str">
        <x:v>Средство для растений/почвы</x:v>
      </x:c>
      <x:c r="E433" s="9" t="str">
        <x:v>Розничный каталог</x:v>
      </x:c>
      <x:c r="F433" s="9" t="str">
        <x:v>—</x:v>
      </x:c>
      <x:c r="G433" s="9" t="str">
        <x:v>100% натуральные растительные экстракты и масла</x:v>
      </x:c>
      <x:c r="H433" s="9" t="str">
        <x:v>Есть сведения; см. ограничения</x:v>
      </x:c>
      <x:c r="I433" s="9" t="str">
        <x:v>См. карточку</x:v>
      </x:c>
      <x:c r="J433" s="10" t="n">
        <x:v>2</x:v>
      </x:c>
      <x:c r="K433" s="9" t="str">
        <x:v>Близкий аналог не подтвержден</x:v>
      </x:c>
      <x:c r="L433" s="9"/>
      <x:c r="M433" s="11" t="str">
        <x:v>https://organic-mix.ru/catalog/yaytsekhrust-universalnyy-150-ml/</x:v>
      </x:c>
      <x:c r="N433" s="11"/>
    </x:row>
    <x:row r="434" ht="68" customHeight="1">
      <x:c r="A434" s="6" t="str">
        <x:v>P0429</x:v>
      </x:c>
      <x:c r="B434" s="6" t="str">
        <x:v>Органик Микс</x:v>
      </x:c>
      <x:c r="C434" s="6" t="str">
        <x:v>АМИНОРОСТ (1+1) - Комбо</x:v>
      </x:c>
      <x:c r="D434" s="6" t="str">
        <x:v>Набор, не отдельный препарат</x:v>
      </x:c>
      <x:c r="E434" s="6" t="str">
        <x:v>Розничный каталог</x:v>
      </x:c>
      <x:c r="F434" s="6" t="str">
        <x:v>—</x:v>
      </x:c>
      <x:c r="G434" s="6" t="str">
        <x:v>Количественный состав в прочитанном тексте не найден; см. карточку</x:v>
      </x:c>
      <x:c r="H434" s="6" t="str">
        <x:v>Описание не прочитано/пустое</x:v>
      </x:c>
      <x:c r="I434" s="6" t="str">
        <x:v>См. карточку</x:v>
      </x:c>
      <x:c r="J434" s="12" t="n">
        <x:v>1</x:v>
      </x:c>
      <x:c r="K434" s="6" t="str">
        <x:v>Сравнивать состав набора по отдельным товарам</x:v>
      </x:c>
      <x:c r="L434" s="6"/>
      <x:c r="M434" s="13" t="str">
        <x:v>https://organic-mix.ru/catalog/aminorost-12-gr-1-1-kombo-ot-organik-miks-aktsiya/</x:v>
      </x:c>
      <x:c r="N434" s="13"/>
    </x:row>
    <x:row r="435" ht="68" customHeight="1">
      <x:c r="A435" s="9" t="str">
        <x:v>P0430</x:v>
      </x:c>
      <x:c r="B435" s="9" t="str">
        <x:v>Органик Микс</x:v>
      </x:c>
      <x:c r="C435" s="9" t="str">
        <x:v>АНТИЗИМА (1+1) - Комбо</x:v>
      </x:c>
      <x:c r="D435" s="9" t="str">
        <x:v>Набор, не отдельный препарат</x:v>
      </x:c>
      <x:c r="E435" s="9" t="str">
        <x:v>Розничный каталог</x:v>
      </x:c>
      <x:c r="F435" s="9" t="str">
        <x:v>—</x:v>
      </x:c>
      <x:c r="G435" s="9" t="str">
        <x:v>100% натуральные компоненты природного происхождения.</x:v>
      </x:c>
      <x:c r="H435" s="9" t="str">
        <x:v>Есть сведения; см. ограничения</x:v>
      </x:c>
      <x:c r="I435" s="9" t="str">
        <x:v>См. карточку</x:v>
      </x:c>
      <x:c r="J435" s="10" t="n">
        <x:v>1</x:v>
      </x:c>
      <x:c r="K435" s="9" t="str">
        <x:v>Сравнивать состав набора по отдельным товарам</x:v>
      </x:c>
      <x:c r="L435" s="9"/>
      <x:c r="M435" s="11" t="str">
        <x:v>https://organic-mix.ru/catalog/antizima-700-gr-1-1-kombo-ot-organik-miks-aktsiya/</x:v>
      </x:c>
      <x:c r="N435" s="11"/>
    </x:row>
    <x:row r="436" ht="68" customHeight="1">
      <x:c r="A436" s="6" t="str">
        <x:v>P0431</x:v>
      </x:c>
      <x:c r="B436" s="6" t="str">
        <x:v>Органик Микс</x:v>
      </x:c>
      <x:c r="C436" s="6" t="str">
        <x:v>АНТИЗИМА (1+1) - Комбо</x:v>
      </x:c>
      <x:c r="D436" s="6" t="str">
        <x:v>Набор, не отдельный препарат</x:v>
      </x:c>
      <x:c r="E436" s="6" t="str">
        <x:v>Розничный каталог</x:v>
      </x:c>
      <x:c r="F436" s="6" t="str">
        <x:v>—</x:v>
      </x:c>
      <x:c r="G436" s="6" t="str">
        <x:v>100% натуральные компоненты природного происхождения.</x:v>
      </x:c>
      <x:c r="H436" s="6" t="str">
        <x:v>Есть сведения; см. ограничения</x:v>
      </x:c>
      <x:c r="I436" s="6" t="str">
        <x:v>См. карточку</x:v>
      </x:c>
      <x:c r="J436" s="12" t="n">
        <x:v>1</x:v>
      </x:c>
      <x:c r="K436" s="6" t="str">
        <x:v>Сравнивать состав набора по отдельным товарам</x:v>
      </x:c>
      <x:c r="L436" s="6"/>
      <x:c r="M436" s="13" t="str">
        <x:v>https://organic-mix.ru/catalog/antizima-60-gr-1-1-kombo-ot-organik-miks-aktsiya/</x:v>
      </x:c>
      <x:c r="N436" s="13"/>
    </x:row>
    <x:row r="437" ht="68" customHeight="1">
      <x:c r="A437" s="9" t="str">
        <x:v>P0432</x:v>
      </x:c>
      <x:c r="B437" s="9" t="str">
        <x:v>Органик Микс</x:v>
      </x:c>
      <x:c r="C437" s="9" t="str">
        <x:v>АНТИЗИМА (1+1) - Комбо</x:v>
      </x:c>
      <x:c r="D437" s="9" t="str">
        <x:v>Набор, не отдельный препарат</x:v>
      </x:c>
      <x:c r="E437" s="9" t="str">
        <x:v>Розничный каталог</x:v>
      </x:c>
      <x:c r="F437" s="9" t="str">
        <x:v>—</x:v>
      </x:c>
      <x:c r="G437" s="9" t="str">
        <x:v>100% натуральные компоненты природного происхождения</x:v>
      </x:c>
      <x:c r="H437" s="9" t="str">
        <x:v>Есть сведения; см. ограничения</x:v>
      </x:c>
      <x:c r="I437" s="9" t="str">
        <x:v>См. карточку</x:v>
      </x:c>
      <x:c r="J437" s="10" t="n">
        <x:v>1</x:v>
      </x:c>
      <x:c r="K437" s="9" t="str">
        <x:v>Сравнивать состав набора по отдельным товарам</x:v>
      </x:c>
      <x:c r="L437" s="9"/>
      <x:c r="M437" s="11" t="str">
        <x:v>https://organic-mix.ru/catalog/antizima-210-gr-1-1-kombo-ot-organik-miks-aktsiya/</x:v>
      </x:c>
      <x:c r="N437" s="11"/>
    </x:row>
    <x:row r="438" ht="68" customHeight="1">
      <x:c r="A438" s="6" t="str">
        <x:v>P0433</x:v>
      </x:c>
      <x:c r="B438" s="6" t="str">
        <x:v>Органик Микс</x:v>
      </x:c>
      <x:c r="C438" s="6" t="str">
        <x:v>АНТИЗИМА (1+1) - Комбо</x:v>
      </x:c>
      <x:c r="D438" s="6" t="str">
        <x:v>Набор, не отдельный препарат</x:v>
      </x:c>
      <x:c r="E438" s="6" t="str">
        <x:v>Розничный каталог</x:v>
      </x:c>
      <x:c r="F438" s="6" t="str">
        <x:v>—</x:v>
      </x:c>
      <x:c r="G438" s="6" t="str">
        <x:v>100% натуральные компоненты природного происхождения.</x:v>
      </x:c>
      <x:c r="H438" s="6" t="str">
        <x:v>Есть сведения; см. ограничения</x:v>
      </x:c>
      <x:c r="I438" s="6" t="str">
        <x:v>См. карточку</x:v>
      </x:c>
      <x:c r="J438" s="12" t="n">
        <x:v>1</x:v>
      </x:c>
      <x:c r="K438" s="6" t="str">
        <x:v>Сравнивать состав набора по отдельным товарам</x:v>
      </x:c>
      <x:c r="L438" s="6"/>
      <x:c r="M438" s="13" t="str">
        <x:v>https://organic-mix.ru/catalog/antizima-1400-gr-1-1-kombo-ot-organik-miks-aktsiya/</x:v>
      </x:c>
      <x:c r="N438" s="13"/>
    </x:row>
    <x:row r="439" ht="68" customHeight="1">
      <x:c r="A439" s="9" t="str">
        <x:v>P0434</x:v>
      </x:c>
      <x:c r="B439" s="9" t="str">
        <x:v>Органик Микс</x:v>
      </x:c>
      <x:c r="C439" s="9" t="str">
        <x:v>АНТИЗИМА (1+1) - Комбо</x:v>
      </x:c>
      <x:c r="D439" s="9" t="str">
        <x:v>Набор, не отдельный препарат</x:v>
      </x:c>
      <x:c r="E439" s="9" t="str">
        <x:v>Розничный каталог</x:v>
      </x:c>
      <x:c r="F439" s="9" t="str">
        <x:v>—</x:v>
      </x:c>
      <x:c r="G439" s="9" t="str">
        <x:v>100% натуральные компоненты природного происхождения.</x:v>
      </x:c>
      <x:c r="H439" s="9" t="str">
        <x:v>Есть сведения; см. ограничения</x:v>
      </x:c>
      <x:c r="I439" s="9" t="str">
        <x:v>См. карточку</x:v>
      </x:c>
      <x:c r="J439" s="10" t="n">
        <x:v>1</x:v>
      </x:c>
      <x:c r="K439" s="9" t="str">
        <x:v>Сравнивать состав набора по отдельным товарам</x:v>
      </x:c>
      <x:c r="L439" s="9"/>
      <x:c r="M439" s="11" t="str">
        <x:v>https://organic-mix.ru/catalog/antizima-24-gr-1-1-kombo-ot-organik-miks-aktsiya/</x:v>
      </x:c>
      <x:c r="N439" s="11"/>
    </x:row>
    <x:row r="440" ht="68" customHeight="1">
      <x:c r="A440" s="6" t="str">
        <x:v>P0435</x:v>
      </x:c>
      <x:c r="B440" s="6" t="str">
        <x:v>Органик Микс</x:v>
      </x:c>
      <x:c r="C440" s="6" t="str">
        <x:v>АНТИСТРЕСС (5 шт.) - Комбо от Органик Микс</x:v>
      </x:c>
      <x:c r="D440" s="6" t="str">
        <x:v>Набор, не отдельный препарат</x:v>
      </x:c>
      <x:c r="E440" s="6" t="str">
        <x:v>Розничный каталог</x:v>
      </x:c>
      <x:c r="F440" s="6" t="str">
        <x:v>—</x:v>
      </x:c>
      <x:c r="G440" s="6" t="str">
        <x:v>Количественный состав в прочитанном тексте не найден; см. карточку</x:v>
      </x:c>
      <x:c r="H440" s="6" t="str">
        <x:v>Описание не прочитано/пустое</x:v>
      </x:c>
      <x:c r="I440" s="6" t="str">
        <x:v>См. карточку</x:v>
      </x:c>
      <x:c r="J440" s="12" t="n">
        <x:v>1</x:v>
      </x:c>
      <x:c r="K440" s="6" t="str">
        <x:v>Сравнивать состав набора по отдельным товарам</x:v>
      </x:c>
      <x:c r="L440" s="6"/>
      <x:c r="M440" s="13" t="str">
        <x:v>https://organic-mix.ru/catalog/antistress-5-sht-kombo-ot-organik-miks/</x:v>
      </x:c>
      <x:c r="N440" s="13"/>
    </x:row>
    <x:row r="441" ht="68" customHeight="1">
      <x:c r="A441" s="9" t="str">
        <x:v>P0436</x:v>
      </x:c>
      <x:c r="B441" s="9" t="str">
        <x:v>Органик Микс</x:v>
      </x:c>
      <x:c r="C441" s="9" t="str">
        <x:v>АНТИТРИПСИН (10 шт.) - Комбо от Органик Микс</x:v>
      </x:c>
      <x:c r="D441" s="9" t="str">
        <x:v>Набор, не отдельный препарат</x:v>
      </x:c>
      <x:c r="E441" s="9" t="str">
        <x:v>Розничный каталог</x:v>
      </x:c>
      <x:c r="F441" s="9" t="str">
        <x:v>—</x:v>
      </x:c>
      <x:c r="G441" s="9" t="str">
        <x:v>Количественный состав в прочитанном тексте не найден; см. карточку</x:v>
      </x:c>
      <x:c r="H441" s="9" t="str">
        <x:v>Описание не прочитано/пустое</x:v>
      </x:c>
      <x:c r="I441" s="9" t="str">
        <x:v>См. карточку</x:v>
      </x:c>
      <x:c r="J441" s="10" t="n">
        <x:v>1</x:v>
      </x:c>
      <x:c r="K441" s="9" t="str">
        <x:v>Сравнивать состав набора по отдельным товарам</x:v>
      </x:c>
      <x:c r="L441" s="9"/>
      <x:c r="M441" s="11" t="str">
        <x:v>https://organic-mix.ru/catalog/antitripsin-10-sht-kombo-ot-organik-miks/</x:v>
      </x:c>
      <x:c r="N441" s="11"/>
    </x:row>
    <x:row r="442" ht="68" customHeight="1">
      <x:c r="A442" s="6" t="str">
        <x:v>P0437</x:v>
      </x:c>
      <x:c r="B442" s="6" t="str">
        <x:v>Органик Микс</x:v>
      </x:c>
      <x:c r="C442" s="6" t="str">
        <x:v>АНТИТРИПСИН (5 шт.) - Комбо от Органик Микс</x:v>
      </x:c>
      <x:c r="D442" s="6" t="str">
        <x:v>Набор, не отдельный препарат</x:v>
      </x:c>
      <x:c r="E442" s="6" t="str">
        <x:v>Розничный каталог</x:v>
      </x:c>
      <x:c r="F442" s="6" t="str">
        <x:v>—</x:v>
      </x:c>
      <x:c r="G442" s="6" t="str">
        <x:v>Количественный состав в прочитанном тексте не найден; см. карточку</x:v>
      </x:c>
      <x:c r="H442" s="6" t="str">
        <x:v>Описание не прочитано/пустое</x:v>
      </x:c>
      <x:c r="I442" s="6" t="str">
        <x:v>См. карточку</x:v>
      </x:c>
      <x:c r="J442" s="12" t="n">
        <x:v>1</x:v>
      </x:c>
      <x:c r="K442" s="6" t="str">
        <x:v>Сравнивать состав набора по отдельным товарам</x:v>
      </x:c>
      <x:c r="L442" s="6"/>
      <x:c r="M442" s="13" t="str">
        <x:v>https://organic-mix.ru/catalog/antitripsin-5-sht-kombo-ot-organik-miks/</x:v>
      </x:c>
      <x:c r="N442" s="13"/>
    </x:row>
    <x:row r="443" ht="68" customHeight="1">
      <x:c r="A443" s="9" t="str">
        <x:v>P0438</x:v>
      </x:c>
      <x:c r="B443" s="9" t="str">
        <x:v>Органик Микс</x:v>
      </x:c>
      <x:c r="C443" s="9" t="str">
        <x:v>АРОМАЩИТ Универсал (10 шт.) - Комбо от Органик Микс</x:v>
      </x:c>
      <x:c r="D443" s="9" t="str">
        <x:v>Набор, не отдельный препарат</x:v>
      </x:c>
      <x:c r="E443" s="9" t="str">
        <x:v>Розничный каталог</x:v>
      </x:c>
      <x:c r="F443" s="9" t="str">
        <x:v>—</x:v>
      </x:c>
      <x:c r="G443" s="9" t="str">
        <x:v>Количественный состав в прочитанном тексте не найден; см. карточку</x:v>
      </x:c>
      <x:c r="H443" s="9" t="str">
        <x:v>Описание не прочитано/пустое</x:v>
      </x:c>
      <x:c r="I443" s="9" t="str">
        <x:v>См. карточку</x:v>
      </x:c>
      <x:c r="J443" s="10" t="n">
        <x:v>1</x:v>
      </x:c>
      <x:c r="K443" s="9" t="str">
        <x:v>Сравнивать состав набора по отдельным товарам</x:v>
      </x:c>
      <x:c r="L443" s="9"/>
      <x:c r="M443" s="11" t="str">
        <x:v>https://organic-mix.ru/catalog/aromashchit-universal-10-sht-kombo-ot-organik-miks/</x:v>
      </x:c>
      <x:c r="N443" s="11"/>
    </x:row>
    <x:row r="444" ht="68" customHeight="1">
      <x:c r="A444" s="6" t="str">
        <x:v>P0439</x:v>
      </x:c>
      <x:c r="B444" s="6" t="str">
        <x:v>Органик Микс</x:v>
      </x:c>
      <x:c r="C444" s="6" t="str">
        <x:v>АРОМАЩИТ Универсал (5 шт.) - Комбо от Органик Микс</x:v>
      </x:c>
      <x:c r="D444" s="6" t="str">
        <x:v>Набор, не отдельный препарат</x:v>
      </x:c>
      <x:c r="E444" s="6" t="str">
        <x:v>Розничный каталог</x:v>
      </x:c>
      <x:c r="F444" s="6" t="str">
        <x:v>—</x:v>
      </x:c>
      <x:c r="G444" s="6" t="str">
        <x:v>Количественный состав в прочитанном тексте не найден; см. карточку</x:v>
      </x:c>
      <x:c r="H444" s="6" t="str">
        <x:v>Описание не прочитано/пустое</x:v>
      </x:c>
      <x:c r="I444" s="6" t="str">
        <x:v>См. карточку</x:v>
      </x:c>
      <x:c r="J444" s="12" t="n">
        <x:v>1</x:v>
      </x:c>
      <x:c r="K444" s="6" t="str">
        <x:v>Сравнивать состав набора по отдельным товарам</x:v>
      </x:c>
      <x:c r="L444" s="6"/>
      <x:c r="M444" s="13" t="str">
        <x:v>https://organic-mix.ru/catalog/aromashchit-universal-5-sht-kombo-ot-organik-miks/</x:v>
      </x:c>
      <x:c r="N444" s="13"/>
    </x:row>
    <x:row r="445" ht="68" customHeight="1">
      <x:c r="A445" s="9" t="str">
        <x:v>P0440</x:v>
      </x:c>
      <x:c r="B445" s="9" t="str">
        <x:v>Органик Микс</x:v>
      </x:c>
      <x:c r="C445" s="9" t="str">
        <x:v>БЕЗ ХЛОРОЗА (5 шт.) - Комбо от Органик Микс</x:v>
      </x:c>
      <x:c r="D445" s="9" t="str">
        <x:v>Набор, не отдельный препарат</x:v>
      </x:c>
      <x:c r="E445" s="9" t="str">
        <x:v>Розничный каталог</x:v>
      </x:c>
      <x:c r="F445" s="9" t="str">
        <x:v>—</x:v>
      </x:c>
      <x:c r="G445" s="9" t="str">
        <x:v>Количественный состав в прочитанном тексте не найден; см. карточку</x:v>
      </x:c>
      <x:c r="H445" s="9" t="str">
        <x:v>Описание не прочитано/пустое</x:v>
      </x:c>
      <x:c r="I445" s="9" t="str">
        <x:v>См. карточку</x:v>
      </x:c>
      <x:c r="J445" s="10" t="n">
        <x:v>1</x:v>
      </x:c>
      <x:c r="K445" s="9" t="str">
        <x:v>Сравнивать состав набора по отдельным товарам</x:v>
      </x:c>
      <x:c r="L445" s="9"/>
      <x:c r="M445" s="11" t="str">
        <x:v>https://organic-mix.ru/catalog/bez-khloroza-5-sht-kombo-ot-organik-miks/</x:v>
      </x:c>
      <x:c r="N445" s="11"/>
    </x:row>
    <x:row r="446" ht="68" customHeight="1">
      <x:c r="A446" s="6" t="str">
        <x:v>P0441</x:v>
      </x:c>
      <x:c r="B446" s="6" t="str">
        <x:v>Органик Микс</x:v>
      </x:c>
      <x:c r="C446" s="6" t="str">
        <x:v>БЕЗПАУТИН (10 шт.) - Комбо от Органик Микс</x:v>
      </x:c>
      <x:c r="D446" s="6" t="str">
        <x:v>Набор, не отдельный препарат</x:v>
      </x:c>
      <x:c r="E446" s="6" t="str">
        <x:v>Розничный каталог</x:v>
      </x:c>
      <x:c r="F446" s="6" t="str">
        <x:v>—</x:v>
      </x:c>
      <x:c r="G446" s="6" t="str">
        <x:v>Количественный состав в прочитанном тексте не найден; см. карточку</x:v>
      </x:c>
      <x:c r="H446" s="6" t="str">
        <x:v>Описание не прочитано/пустое</x:v>
      </x:c>
      <x:c r="I446" s="6" t="str">
        <x:v>См. карточку</x:v>
      </x:c>
      <x:c r="J446" s="12" t="n">
        <x:v>1</x:v>
      </x:c>
      <x:c r="K446" s="6" t="str">
        <x:v>Сравнивать состав набора по отдельным товарам</x:v>
      </x:c>
      <x:c r="L446" s="6"/>
      <x:c r="M446" s="13" t="str">
        <x:v>https://organic-mix.ru/catalog/bezpautin-10-sht-kombo-ot-organik-miks/</x:v>
      </x:c>
      <x:c r="N446" s="13"/>
    </x:row>
    <x:row r="447" ht="68" customHeight="1">
      <x:c r="A447" s="9" t="str">
        <x:v>P0442</x:v>
      </x:c>
      <x:c r="B447" s="9" t="str">
        <x:v>Органик Микс</x:v>
      </x:c>
      <x:c r="C447" s="9" t="str">
        <x:v>БЕЗПАУТИН (5 шт.) - Комбо от Органик Микс</x:v>
      </x:c>
      <x:c r="D447" s="9" t="str">
        <x:v>Набор, не отдельный препарат</x:v>
      </x:c>
      <x:c r="E447" s="9" t="str">
        <x:v>Розничный каталог</x:v>
      </x:c>
      <x:c r="F447" s="9" t="str">
        <x:v>—</x:v>
      </x:c>
      <x:c r="G447" s="9" t="str">
        <x:v>Количественный состав в прочитанном тексте не найден; см. карточку</x:v>
      </x:c>
      <x:c r="H447" s="9" t="str">
        <x:v>Описание не прочитано/пустое</x:v>
      </x:c>
      <x:c r="I447" s="9" t="str">
        <x:v>См. карточку</x:v>
      </x:c>
      <x:c r="J447" s="10" t="n">
        <x:v>1</x:v>
      </x:c>
      <x:c r="K447" s="9" t="str">
        <x:v>Сравнивать состав набора по отдельным товарам</x:v>
      </x:c>
      <x:c r="L447" s="9"/>
      <x:c r="M447" s="11" t="str">
        <x:v>https://organic-mix.ru/catalog/bezpautin-5-sht-kombo-ot-organik-miks/</x:v>
      </x:c>
      <x:c r="N447" s="11"/>
    </x:row>
    <x:row r="448" ht="68" customHeight="1">
      <x:c r="A448" s="6" t="str">
        <x:v>P0443</x:v>
      </x:c>
      <x:c r="B448" s="6" t="str">
        <x:v>Органик Микс</x:v>
      </x:c>
      <x:c r="C448" s="6" t="str">
        <x:v>БИО БЛАСТЕР Универсал (10 шт.) - Комбо от Органик Микс</x:v>
      </x:c>
      <x:c r="D448" s="6" t="str">
        <x:v>Набор, не отдельный препарат</x:v>
      </x:c>
      <x:c r="E448" s="6" t="str">
        <x:v>Розничный каталог</x:v>
      </x:c>
      <x:c r="F448" s="6" t="str">
        <x:v>—</x:v>
      </x:c>
      <x:c r="G448" s="6" t="str">
        <x:v>Количественный состав в прочитанном тексте не найден; см. карточку</x:v>
      </x:c>
      <x:c r="H448" s="6" t="str">
        <x:v>Описание не прочитано/пустое</x:v>
      </x:c>
      <x:c r="I448" s="6" t="str">
        <x:v>См. карточку</x:v>
      </x:c>
      <x:c r="J448" s="12" t="n">
        <x:v>1</x:v>
      </x:c>
      <x:c r="K448" s="6" t="str">
        <x:v>Сравнивать состав набора по отдельным товарам</x:v>
      </x:c>
      <x:c r="L448" s="6"/>
      <x:c r="M448" s="13" t="str">
        <x:v>https://organic-mix.ru/catalog/bio-blaster-universal-10-sht-kombo-ot-organik-miks/</x:v>
      </x:c>
      <x:c r="N448" s="13"/>
    </x:row>
    <x:row r="449" ht="68" customHeight="1">
      <x:c r="A449" s="9" t="str">
        <x:v>P0444</x:v>
      </x:c>
      <x:c r="B449" s="9" t="str">
        <x:v>Органик Микс</x:v>
      </x:c>
      <x:c r="C449" s="9" t="str">
        <x:v>БИО БЛАСТЕР Универсал (5 шт.) - Комбо от Органик Микс</x:v>
      </x:c>
      <x:c r="D449" s="9" t="str">
        <x:v>Набор, не отдельный препарат</x:v>
      </x:c>
      <x:c r="E449" s="9" t="str">
        <x:v>Розничный каталог</x:v>
      </x:c>
      <x:c r="F449" s="9" t="str">
        <x:v>—</x:v>
      </x:c>
      <x:c r="G449" s="9" t="str">
        <x:v>Количественный состав в прочитанном тексте не найден; см. карточку</x:v>
      </x:c>
      <x:c r="H449" s="9" t="str">
        <x:v>Описание не прочитано/пустое</x:v>
      </x:c>
      <x:c r="I449" s="9" t="str">
        <x:v>См. карточку</x:v>
      </x:c>
      <x:c r="J449" s="10" t="n">
        <x:v>1</x:v>
      </x:c>
      <x:c r="K449" s="9" t="str">
        <x:v>Сравнивать состав набора по отдельным товарам</x:v>
      </x:c>
      <x:c r="L449" s="9"/>
      <x:c r="M449" s="11" t="str">
        <x:v>https://organic-mix.ru/catalog/bio-blaster-universal-5-sht-kombo-ot-organik-miks/</x:v>
      </x:c>
      <x:c r="N449" s="11"/>
    </x:row>
    <x:row r="450" ht="68" customHeight="1">
      <x:c r="A450" s="6" t="str">
        <x:v>P0445</x:v>
      </x:c>
      <x:c r="B450" s="6" t="str">
        <x:v>Органик Микс</x:v>
      </x:c>
      <x:c r="C450" s="6" t="str">
        <x:v>БИО ХАНТЕР Универсал (10 шт.) - Комбо от Органик Микс</x:v>
      </x:c>
      <x:c r="D450" s="6" t="str">
        <x:v>Набор, не отдельный препарат</x:v>
      </x:c>
      <x:c r="E450" s="6" t="str">
        <x:v>Розничный каталог</x:v>
      </x:c>
      <x:c r="F450" s="6" t="str">
        <x:v>—</x:v>
      </x:c>
      <x:c r="G450" s="6" t="str">
        <x:v>Количественный состав в прочитанном тексте не найден; см. карточку</x:v>
      </x:c>
      <x:c r="H450" s="6" t="str">
        <x:v>Описание не прочитано/пустое</x:v>
      </x:c>
      <x:c r="I450" s="6" t="str">
        <x:v>См. карточку</x:v>
      </x:c>
      <x:c r="J450" s="12" t="n">
        <x:v>1</x:v>
      </x:c>
      <x:c r="K450" s="6" t="str">
        <x:v>Сравнивать состав набора по отдельным товарам</x:v>
      </x:c>
      <x:c r="L450" s="6"/>
      <x:c r="M450" s="13" t="str">
        <x:v>https://organic-mix.ru/catalog/bio-khanter-universal-10-sht-kombo-ot-organik-miks/</x:v>
      </x:c>
      <x:c r="N450" s="13"/>
    </x:row>
    <x:row r="451" ht="68" customHeight="1">
      <x:c r="A451" s="9" t="str">
        <x:v>P0446</x:v>
      </x:c>
      <x:c r="B451" s="9" t="str">
        <x:v>Органик Микс</x:v>
      </x:c>
      <x:c r="C451" s="9" t="str">
        <x:v>БИО ХАНТЕР Универсал (5 шт.) - Комбо от Органик Микс</x:v>
      </x:c>
      <x:c r="D451" s="9" t="str">
        <x:v>Набор, не отдельный препарат</x:v>
      </x:c>
      <x:c r="E451" s="9" t="str">
        <x:v>Розничный каталог</x:v>
      </x:c>
      <x:c r="F451" s="9" t="str">
        <x:v>—</x:v>
      </x:c>
      <x:c r="G451" s="9" t="str">
        <x:v>Количественный состав в прочитанном тексте не найден; см. карточку</x:v>
      </x:c>
      <x:c r="H451" s="9" t="str">
        <x:v>Описание не прочитано/пустое</x:v>
      </x:c>
      <x:c r="I451" s="9" t="str">
        <x:v>См. карточку</x:v>
      </x:c>
      <x:c r="J451" s="10" t="n">
        <x:v>1</x:v>
      </x:c>
      <x:c r="K451" s="9" t="str">
        <x:v>Сравнивать состав набора по отдельным товарам</x:v>
      </x:c>
      <x:c r="L451" s="9"/>
      <x:c r="M451" s="11" t="str">
        <x:v>https://organic-mix.ru/catalog/bio-khanter-universal-5-sht-kombo-ot-organik-miks/</x:v>
      </x:c>
      <x:c r="N451" s="11"/>
    </x:row>
    <x:row r="452" ht="68" customHeight="1">
      <x:c r="A452" s="6" t="str">
        <x:v>P0447</x:v>
      </x:c>
      <x:c r="B452" s="6" t="str">
        <x:v>Органик Микс</x:v>
      </x:c>
      <x:c r="C452" s="6" t="str">
        <x:v>БИОКОРЕНЬ (1+1) - Комбо</x:v>
      </x:c>
      <x:c r="D452" s="6" t="str">
        <x:v>Набор, не отдельный препарат</x:v>
      </x:c>
      <x:c r="E452" s="6" t="str">
        <x:v>Розничный каталог</x:v>
      </x:c>
      <x:c r="F452" s="6" t="str">
        <x:v>—</x:v>
      </x:c>
      <x:c r="G452" s="6" t="str">
        <x:v>На основе растительных экстрактов морских водорослей</x:v>
      </x:c>
      <x:c r="H452" s="6" t="str">
        <x:v>Есть сведения; см. ограничения</x:v>
      </x:c>
      <x:c r="I452" s="6" t="str">
        <x:v>См. карточку</x:v>
      </x:c>
      <x:c r="J452" s="12" t="n">
        <x:v>1</x:v>
      </x:c>
      <x:c r="K452" s="6" t="str">
        <x:v>Сравнивать состав набора по отдельным товарам</x:v>
      </x:c>
      <x:c r="L452" s="6"/>
      <x:c r="M452" s="13" t="str">
        <x:v>https://organic-mix.ru/catalog/biokoren-1300-gr-1-1-kombo-ot-organik-miks-aktsiya/</x:v>
      </x:c>
      <x:c r="N452" s="13"/>
    </x:row>
    <x:row r="453" ht="68" customHeight="1">
      <x:c r="A453" s="9" t="str">
        <x:v>P0448</x:v>
      </x:c>
      <x:c r="B453" s="9" t="str">
        <x:v>Органик Микс</x:v>
      </x:c>
      <x:c r="C453" s="9" t="str">
        <x:v>БОГАТЫЙ УРОЖАЙ - набор для Огурцов от Органик Микс (ЖМК 900 и БЗ )</x:v>
      </x:c>
      <x:c r="D453" s="9" t="str">
        <x:v>Набор, не отдельный препарат</x:v>
      </x:c>
      <x:c r="E453" s="9" t="str">
        <x:v>Розничный каталог</x:v>
      </x:c>
      <x:c r="F453" s="9" t="str">
        <x:v>—</x:v>
      </x:c>
      <x:c r="G453" s="9" t="str">
        <x:v>Количественный состав в прочитанном тексте не найден; см. карточку</x:v>
      </x:c>
      <x:c r="H453" s="9" t="str">
        <x:v>Описание не прочитано/пустое</x:v>
      </x:c>
      <x:c r="I453" s="9" t="str">
        <x:v>См. карточку</x:v>
      </x:c>
      <x:c r="J453" s="10" t="n">
        <x:v>1</x:v>
      </x:c>
      <x:c r="K453" s="9" t="str">
        <x:v>Сравнивать состав набора по отдельным товарам</x:v>
      </x:c>
      <x:c r="L453" s="9"/>
      <x:c r="M453" s="11" t="str">
        <x:v>https://organic-mix.ru/catalog/bogatyy-urozhay-nabor-dlya-ogurtsov-ot-organik-miks-zhmk-900-i-bz-1l/</x:v>
      </x:c>
      <x:c r="N453" s="11"/>
    </x:row>
    <x:row r="454" ht="68" customHeight="1">
      <x:c r="A454" s="6" t="str">
        <x:v>P0449</x:v>
      </x:c>
      <x:c r="B454" s="6" t="str">
        <x:v>Органик Микс</x:v>
      </x:c>
      <x:c r="C454" s="6" t="str">
        <x:v>БОГАТЫЙ УРОЖАЙ - набор для Томатов от Органик Микс (ЖМК 900 и БЗ )</x:v>
      </x:c>
      <x:c r="D454" s="6" t="str">
        <x:v>Набор, не отдельный препарат</x:v>
      </x:c>
      <x:c r="E454" s="6" t="str">
        <x:v>Розничный каталог</x:v>
      </x:c>
      <x:c r="F454" s="6" t="str">
        <x:v>—</x:v>
      </x:c>
      <x:c r="G454" s="6" t="str">
        <x:v>Количественный состав в прочитанном тексте не найден; см. карточку</x:v>
      </x:c>
      <x:c r="H454" s="6" t="str">
        <x:v>Описание не прочитано/пустое</x:v>
      </x:c>
      <x:c r="I454" s="6" t="str">
        <x:v>См. карточку</x:v>
      </x:c>
      <x:c r="J454" s="12" t="n">
        <x:v>1</x:v>
      </x:c>
      <x:c r="K454" s="6" t="str">
        <x:v>Сравнивать состав набора по отдельным товарам</x:v>
      </x:c>
      <x:c r="L454" s="6"/>
      <x:c r="M454" s="13" t="str">
        <x:v>https://organic-mix.ru/catalog/bogatyy-urozhay-nabor-dlya-tomatov-ot-organik-miks-zhmk-900-i-bz-1l/</x:v>
      </x:c>
      <x:c r="N454" s="13"/>
    </x:row>
    <x:row r="455" ht="68" customHeight="1">
      <x:c r="A455" s="9" t="str">
        <x:v>P0450</x:v>
      </x:c>
      <x:c r="B455" s="9" t="str">
        <x:v>Органик Микс</x:v>
      </x:c>
      <x:c r="C455" s="9" t="str">
        <x:v>БУРНЫЙ РОСТ (5 шт.) - Комбо от Органик Микс</x:v>
      </x:c>
      <x:c r="D455" s="9" t="str">
        <x:v>Набор, не отдельный препарат</x:v>
      </x:c>
      <x:c r="E455" s="9" t="str">
        <x:v>Розничный каталог</x:v>
      </x:c>
      <x:c r="F455" s="9" t="str">
        <x:v>—</x:v>
      </x:c>
      <x:c r="G455" s="9" t="str">
        <x:v>Количественный состав в прочитанном тексте не найден; см. карточку</x:v>
      </x:c>
      <x:c r="H455" s="9" t="str">
        <x:v>Описание не прочитано/пустое</x:v>
      </x:c>
      <x:c r="I455" s="9" t="str">
        <x:v>См. карточку</x:v>
      </x:c>
      <x:c r="J455" s="10" t="n">
        <x:v>1</x:v>
      </x:c>
      <x:c r="K455" s="9" t="str">
        <x:v>Сравнивать состав набора по отдельным товарам</x:v>
      </x:c>
      <x:c r="L455" s="9"/>
      <x:c r="M455" s="11" t="str">
        <x:v>https://organic-mix.ru/catalog/burnyy-rost-5-sht-kombo-ot-organik-miks/</x:v>
      </x:c>
      <x:c r="N455" s="11"/>
    </x:row>
    <x:row r="456" ht="68" customHeight="1">
      <x:c r="A456" s="6" t="str">
        <x:v>P0451</x:v>
      </x:c>
      <x:c r="B456" s="6" t="str">
        <x:v>Органик Микс</x:v>
      </x:c>
      <x:c r="C456" s="6" t="str">
        <x:v>ВЕЧНО ЗЕЛЕНЫЕ - Комбо от Органик Микс</x:v>
      </x:c>
      <x:c r="D456" s="6" t="str">
        <x:v>Набор, не отдельный препарат</x:v>
      </x:c>
      <x:c r="E456" s="6" t="str">
        <x:v>Розничный каталог</x:v>
      </x:c>
      <x:c r="F456" s="6" t="str">
        <x:v>—</x:v>
      </x:c>
      <x:c r="G456" s="6" t="str">
        <x:v>Количественный состав в прочитанном тексте не найден; см. карточку</x:v>
      </x:c>
      <x:c r="H456" s="6" t="str">
        <x:v>Описание не прочитано/пустое</x:v>
      </x:c>
      <x:c r="I456" s="6" t="str">
        <x:v>См. карточку</x:v>
      </x:c>
      <x:c r="J456" s="12" t="n">
        <x:v>1</x:v>
      </x:c>
      <x:c r="K456" s="6" t="str">
        <x:v>Сравнивать состав набора по отдельным товарам</x:v>
      </x:c>
      <x:c r="L456" s="6"/>
      <x:c r="M456" s="13" t="str">
        <x:v>https://organic-mix.ru/catalog/vechno-zelenye-kombo-ot-organik-miks/</x:v>
      </x:c>
      <x:c r="N456" s="13"/>
    </x:row>
    <x:row r="457" ht="68" customHeight="1">
      <x:c r="A457" s="9" t="str">
        <x:v>P0452</x:v>
      </x:c>
      <x:c r="B457" s="9" t="str">
        <x:v>Органик Микс</x:v>
      </x:c>
      <x:c r="C457" s="9" t="str">
        <x:v>ВОССТАНОВЛЕНИЕ КОМНАТНЫХ РАСТЕНИЙ - Комбо от Органик Микс</x:v>
      </x:c>
      <x:c r="D457" s="9" t="str">
        <x:v>Набор, не отдельный препарат</x:v>
      </x:c>
      <x:c r="E457" s="9" t="str">
        <x:v>Розничный каталог</x:v>
      </x:c>
      <x:c r="F457" s="9" t="str">
        <x:v>—</x:v>
      </x:c>
      <x:c r="G457" s="9" t="str">
        <x:v>Бельгийская серия для цветов 25 г - 1 шт; Биотонус 50 г - 1 шт ПОДАРОК Аминорост 30 г - 1 шт.</x:v>
      </x:c>
      <x:c r="H457" s="9" t="str">
        <x:v>Есть сведения; см. ограничения</x:v>
      </x:c>
      <x:c r="I457" s="9" t="str">
        <x:v>См. карточку</x:v>
      </x:c>
      <x:c r="J457" s="10" t="n">
        <x:v>1</x:v>
      </x:c>
      <x:c r="K457" s="9" t="str">
        <x:v>Сравнивать состав набора по отдельным товарам</x:v>
      </x:c>
      <x:c r="L457" s="9"/>
      <x:c r="M457" s="11" t="str">
        <x:v>https://organic-mix.ru/catalog/vosstanovlenie-komnatnykh-rasteniy-kombo-ot-organik-miks/</x:v>
      </x:c>
      <x:c r="N457" s="11"/>
    </x:row>
    <x:row r="458" ht="68" customHeight="1">
      <x:c r="A458" s="6" t="str">
        <x:v>P0453</x:v>
      </x:c>
      <x:c r="B458" s="6" t="str">
        <x:v>Органик Микс</x:v>
      </x:c>
      <x:c r="C458" s="6" t="str">
        <x:v>Выращивание рассады Эустомы - Комбо от Органик Микс (+ ПОДАРОК - Биокорень (баночка) )</x:v>
      </x:c>
      <x:c r="D458" s="6" t="str">
        <x:v>Набор, не отдельный препарат</x:v>
      </x:c>
      <x:c r="E458" s="6" t="str">
        <x:v>Розничный каталог</x:v>
      </x:c>
      <x:c r="F458" s="6" t="str">
        <x:v>—</x:v>
      </x:c>
      <x:c r="G458" s="6" t="str">
        <x:v>Грунт для семян и черенков 4 л - 1 шт; Фитостарт 0,6 г - 1 шт Аминорост 30 г - 1 шт ПОДАРОК Биокорень 20 г - 1 шт</x:v>
      </x:c>
      <x:c r="H458" s="6" t="str">
        <x:v>Есть сведения; см. ограничения</x:v>
      </x:c>
      <x:c r="I458" s="6" t="str">
        <x:v>См. карточку</x:v>
      </x:c>
      <x:c r="J458" s="12" t="n">
        <x:v>1</x:v>
      </x:c>
      <x:c r="K458" s="6" t="str">
        <x:v>Сравнивать состав набора по отдельным товарам</x:v>
      </x:c>
      <x:c r="L458" s="6"/>
      <x:c r="M458" s="13" t="str">
        <x:v>https://organic-mix.ru/catalog/vyrashchivanie-rassady-eustomy-kombo-ot-organik-miks-podarok-biokoren-banochka-20-gr-/</x:v>
      </x:c>
      <x:c r="N458" s="13"/>
    </x:row>
    <x:row r="459" ht="68" customHeight="1">
      <x:c r="A459" s="9" t="str">
        <x:v>P0454</x:v>
      </x:c>
      <x:c r="B459" s="9" t="str">
        <x:v>Органик Микс</x:v>
      </x:c>
      <x:c r="C459" s="9" t="str">
        <x:v>ГОДОВОЙ НАБОР МОРСКОГО КОКТЕЙЛЯ на 2 сотки от Органик Микс</x:v>
      </x:c>
      <x:c r="D459" s="9" t="str">
        <x:v>Набор, не отдельный препарат</x:v>
      </x:c>
      <x:c r="E459" s="9" t="str">
        <x:v>Розничный каталог</x:v>
      </x:c>
      <x:c r="F459" s="9" t="str">
        <x:v>—</x:v>
      </x:c>
      <x:c r="G459" s="9" t="str">
        <x:v>Фиш Энерджи(400г.)-1 шт. Морской коктейль (5л)-2 шт. Морской коктейль водорастворимый (600г)-5 шт. Морской коктейль (2.8 кг)-2 шт.</x:v>
      </x:c>
      <x:c r="H459" s="9" t="str">
        <x:v>Есть сведения; см. ограничения</x:v>
      </x:c>
      <x:c r="I459" s="9" t="str">
        <x:v>См. карточку</x:v>
      </x:c>
      <x:c r="J459" s="10" t="n">
        <x:v>4</x:v>
      </x:c>
      <x:c r="K459" s="9" t="str">
        <x:v>Сравнивать состав набора по отдельным товарам</x:v>
      </x:c>
      <x:c r="L459" s="9"/>
      <x:c r="M459" s="11" t="str">
        <x:v>https://organic-mix.ru/catalog/godovoy-nabor-morskogo-kokteylya-na-2-sotki-ot-organik-miks-/</x:v>
      </x:c>
      <x:c r="N459" s="11"/>
    </x:row>
    <x:row r="460" ht="68" customHeight="1">
      <x:c r="A460" s="6" t="str">
        <x:v>P0455</x:v>
      </x:c>
      <x:c r="B460" s="6" t="str">
        <x:v>Органик Микс</x:v>
      </x:c>
      <x:c r="C460" s="6" t="str">
        <x:v>ДОЗРЕВАТЕЛЬ томатов, овощей, ягод - Комбо</x:v>
      </x:c>
      <x:c r="D460" s="6" t="str">
        <x:v>Набор, не отдельный препарат</x:v>
      </x:c>
      <x:c r="E460" s="6" t="str">
        <x:v>Розничный каталог</x:v>
      </x:c>
      <x:c r="F460" s="6" t="str">
        <x:v>—</x:v>
      </x:c>
      <x:c r="G460" s="6" t="str">
        <x:v>Морской коктейль (жидкий) - Автолизат из морских обитателей с высоким содержанием протеина и аминокислот Антизима - 100% натуральные компоненты природного происхождения</x:v>
      </x:c>
      <x:c r="H460" s="6" t="str">
        <x:v>Есть сведения; см. ограничения</x:v>
      </x:c>
      <x:c r="I460" s="6" t="str">
        <x:v>См. карточку</x:v>
      </x:c>
      <x:c r="J460" s="12" t="n">
        <x:v>1</x:v>
      </x:c>
      <x:c r="K460" s="6" t="str">
        <x:v>Сравнивать состав набора по отдельным товарам</x:v>
      </x:c>
      <x:c r="L460" s="6"/>
      <x:c r="M460" s="13" t="str">
        <x:v>https://organic-mix.ru/catalog/dozrevatel-tomatov-ovoshchey-yagod-kombo-ot-organik-miks-aktsiya/</x:v>
      </x:c>
      <x:c r="N460" s="13"/>
    </x:row>
    <x:row r="461" ht="68" customHeight="1">
      <x:c r="A461" s="9" t="str">
        <x:v>P0456</x:v>
      </x:c>
      <x:c r="B461" s="9" t="str">
        <x:v>Органик Микс</x:v>
      </x:c>
      <x:c r="C461" s="9" t="str">
        <x:v>ДРУЖНЫЕ ВСХОДЫ - Комбо от Органик Микс</x:v>
      </x:c>
      <x:c r="D461" s="9" t="str">
        <x:v>Набор, не отдельный препарат</x:v>
      </x:c>
      <x:c r="E461" s="9" t="str">
        <x:v>Розничный каталог</x:v>
      </x:c>
      <x:c r="F461" s="9" t="str">
        <x:v>—</x:v>
      </x:c>
      <x:c r="G461" s="9" t="str">
        <x:v>Грунт для семян и черенков 4 л - 1 шт; Аминорост 30 г - 1 штука; ПОДАРОК Фитостарт 0,6 г - 1 штука</x:v>
      </x:c>
      <x:c r="H461" s="9" t="str">
        <x:v>Есть сведения; см. ограничения</x:v>
      </x:c>
      <x:c r="I461" s="9" t="str">
        <x:v>См. карточку</x:v>
      </x:c>
      <x:c r="J461" s="10" t="n">
        <x:v>1</x:v>
      </x:c>
      <x:c r="K461" s="9" t="str">
        <x:v>Сравнивать состав набора по отдельным товарам</x:v>
      </x:c>
      <x:c r="L461" s="9"/>
      <x:c r="M461" s="11" t="str">
        <x:v>https://organic-mix.ru/catalog/druzhnye-vskhody-kombo-ot-organik-miks/</x:v>
      </x:c>
      <x:c r="N461" s="11"/>
    </x:row>
    <x:row r="462" ht="68" customHeight="1">
      <x:c r="A462" s="6" t="str">
        <x:v>P0457</x:v>
      </x:c>
      <x:c r="B462" s="6" t="str">
        <x:v>Органик Микс</x:v>
      </x:c>
      <x:c r="C462" s="6" t="str">
        <x:v>ЗДОРОВЫЙ УРОЖАЙ - набор для Клубники от Органик Микс (ВМК 150 и БЗ )</x:v>
      </x:c>
      <x:c r="D462" s="6" t="str">
        <x:v>Набор, не отдельный препарат</x:v>
      </x:c>
      <x:c r="E462" s="6" t="str">
        <x:v>Розничный каталог</x:v>
      </x:c>
      <x:c r="F462" s="6" t="str">
        <x:v>—</x:v>
      </x:c>
      <x:c r="G462" s="6" t="str">
        <x:v>Количественный состав в прочитанном тексте не найден; см. карточку</x:v>
      </x:c>
      <x:c r="H462" s="6" t="str">
        <x:v>Описание не прочитано/пустое</x:v>
      </x:c>
      <x:c r="I462" s="6" t="str">
        <x:v>См. карточку</x:v>
      </x:c>
      <x:c r="J462" s="12" t="n">
        <x:v>1</x:v>
      </x:c>
      <x:c r="K462" s="6" t="str">
        <x:v>Сравнивать состав набора по отдельным товарам</x:v>
      </x:c>
      <x:c r="L462" s="6"/>
      <x:c r="M462" s="13" t="str">
        <x:v>https://organic-mix.ru/catalog/zdorovyy-urozhay-nabor-dlya-klubniki-ot-organik-miks-vmk-150-i-bz-1l-/</x:v>
      </x:c>
      <x:c r="N462" s="13"/>
    </x:row>
    <x:row r="463" ht="68" customHeight="1">
      <x:c r="A463" s="9" t="str">
        <x:v>P0458</x:v>
      </x:c>
      <x:c r="B463" s="9" t="str">
        <x:v>Органик Микс</x:v>
      </x:c>
      <x:c r="C463" s="9" t="str">
        <x:v>ЗДОРОВЫЙ УРОЖАЙ - набор для Огурцов от Органик Микс (ВМК 150 и БЗ )</x:v>
      </x:c>
      <x:c r="D463" s="9" t="str">
        <x:v>Набор, не отдельный препарат</x:v>
      </x:c>
      <x:c r="E463" s="9" t="str">
        <x:v>Розничный каталог</x:v>
      </x:c>
      <x:c r="F463" s="9" t="str">
        <x:v>—</x:v>
      </x:c>
      <x:c r="G463" s="9" t="str">
        <x:v>Количественный состав в прочитанном тексте не найден; см. карточку</x:v>
      </x:c>
      <x:c r="H463" s="9" t="str">
        <x:v>Описание не прочитано/пустое</x:v>
      </x:c>
      <x:c r="I463" s="9" t="str">
        <x:v>См. карточку</x:v>
      </x:c>
      <x:c r="J463" s="10" t="n">
        <x:v>1</x:v>
      </x:c>
      <x:c r="K463" s="9" t="str">
        <x:v>Сравнивать состав набора по отдельным товарам</x:v>
      </x:c>
      <x:c r="L463" s="9"/>
      <x:c r="M463" s="11" t="str">
        <x:v>https://organic-mix.ru/catalog/zdorovyy-urozhay-nabor-dlya-ogurtsov-ot-organik-miks-vmk-150-i-bz-1l-/</x:v>
      </x:c>
      <x:c r="N463" s="11"/>
    </x:row>
    <x:row r="464" ht="68" customHeight="1">
      <x:c r="A464" s="6" t="str">
        <x:v>P0459</x:v>
      </x:c>
      <x:c r="B464" s="6" t="str">
        <x:v>Органик Микс</x:v>
      </x:c>
      <x:c r="C464" s="6" t="str">
        <x:v>ЗДОРОВЫЙ УРОЖАЙ - набор для Томатов от Органик Микс (ВМК 150 и БЗ )</x:v>
      </x:c>
      <x:c r="D464" s="6" t="str">
        <x:v>Набор, не отдельный препарат</x:v>
      </x:c>
      <x:c r="E464" s="6" t="str">
        <x:v>Розничный каталог</x:v>
      </x:c>
      <x:c r="F464" s="6" t="str">
        <x:v>—</x:v>
      </x:c>
      <x:c r="G464" s="6" t="str">
        <x:v>Количественный состав в прочитанном тексте не найден; см. карточку</x:v>
      </x:c>
      <x:c r="H464" s="6" t="str">
        <x:v>Описание не прочитано/пустое</x:v>
      </x:c>
      <x:c r="I464" s="6" t="str">
        <x:v>См. карточку</x:v>
      </x:c>
      <x:c r="J464" s="12" t="n">
        <x:v>1</x:v>
      </x:c>
      <x:c r="K464" s="6" t="str">
        <x:v>Сравнивать состав набора по отдельным товарам</x:v>
      </x:c>
      <x:c r="L464" s="6"/>
      <x:c r="M464" s="13" t="str">
        <x:v>https://organic-mix.ru/catalog/zdorovyy-urozhay-nabor-dlya-tomatov-ot-organik-miks-vmk-150-i-bz-1l-/</x:v>
      </x:c>
      <x:c r="N464" s="13"/>
    </x:row>
    <x:row r="465" ht="68" customHeight="1">
      <x:c r="A465" s="9" t="str">
        <x:v>P0460</x:v>
      </x:c>
      <x:c r="B465" s="9" t="str">
        <x:v>Органик Микс</x:v>
      </x:c>
      <x:c r="C465" s="9" t="str">
        <x:v>ЗДОРОВЫЙ УРОЖАЙ - набор для Цветов от Органик Микс (ВМК 150 и БЗ )</x:v>
      </x:c>
      <x:c r="D465" s="9" t="str">
        <x:v>Набор, не отдельный препарат</x:v>
      </x:c>
      <x:c r="E465" s="9" t="str">
        <x:v>Розничный каталог</x:v>
      </x:c>
      <x:c r="F465" s="9" t="str">
        <x:v>—</x:v>
      </x:c>
      <x:c r="G465" s="9" t="str">
        <x:v>Количественный состав в прочитанном тексте не найден; см. карточку</x:v>
      </x:c>
      <x:c r="H465" s="9" t="str">
        <x:v>Описание не прочитано/пустое</x:v>
      </x:c>
      <x:c r="I465" s="9" t="str">
        <x:v>См. карточку</x:v>
      </x:c>
      <x:c r="J465" s="10" t="n">
        <x:v>1</x:v>
      </x:c>
      <x:c r="K465" s="9" t="str">
        <x:v>Сравнивать состав набора по отдельным товарам</x:v>
      </x:c>
      <x:c r="L465" s="9"/>
      <x:c r="M465" s="11" t="str">
        <x:v>https://organic-mix.ru/catalog/zdorovyy-urozhay-nabor-dlya-tsvetov-ot-organik-miks-vmk-150-i-bz-1l-/</x:v>
      </x:c>
      <x:c r="N465" s="11"/>
    </x:row>
    <x:row r="466" ht="68" customHeight="1">
      <x:c r="A466" s="6" t="str">
        <x:v>P0461</x:v>
      </x:c>
      <x:c r="B466" s="6" t="str">
        <x:v>Органик Микс</x:v>
      </x:c>
      <x:c r="C466" s="6" t="str">
        <x:v>КЛАССИК - Комбо от Органик Микс</x:v>
      </x:c>
      <x:c r="D466" s="6" t="str">
        <x:v>Набор, не отдельный препарат</x:v>
      </x:c>
      <x:c r="E466" s="6" t="str">
        <x:v>Розничный каталог</x:v>
      </x:c>
      <x:c r="F466" s="6" t="str">
        <x:v>—</x:v>
      </x:c>
      <x:c r="G466" s="6" t="str">
        <x:v>Количественный состав в прочитанном тексте не найден; см. карточку</x:v>
      </x:c>
      <x:c r="H466" s="6" t="str">
        <x:v>Описание не прочитано/пустое</x:v>
      </x:c>
      <x:c r="I466" s="6" t="str">
        <x:v>См. карточку</x:v>
      </x:c>
      <x:c r="J466" s="12" t="n">
        <x:v>1</x:v>
      </x:c>
      <x:c r="K466" s="6" t="str">
        <x:v>Сравнивать состав набора по отдельным товарам</x:v>
      </x:c>
      <x:c r="L466" s="6"/>
      <x:c r="M466" s="13" t="str">
        <x:v>https://organic-mix.ru/catalog/klassik-kombo-ot-organik-miks/</x:v>
      </x:c>
      <x:c r="N466" s="13"/>
    </x:row>
    <x:row r="467" ht="68" customHeight="1">
      <x:c r="A467" s="9" t="str">
        <x:v>P0462</x:v>
      </x:c>
      <x:c r="B467" s="9" t="str">
        <x:v>Органик Микс</x:v>
      </x:c>
      <x:c r="C467" s="9" t="str">
        <x:v>КРЕПКАЯ РАССАДА - Комбо от Органик Микс</x:v>
      </x:c>
      <x:c r="D467" s="9" t="str">
        <x:v>Набор, не отдельный препарат</x:v>
      </x:c>
      <x:c r="E467" s="9" t="str">
        <x:v>Розничный каталог</x:v>
      </x:c>
      <x:c r="F467" s="9" t="str">
        <x:v>—</x:v>
      </x:c>
      <x:c r="G467" s="9" t="str">
        <x:v>Эликсир № 1 для рассады 250 мл - 1 шт; Биокорень 50 г - 1 шт; ПОДАРОК Аминорост 30 г - 1 шт.</x:v>
      </x:c>
      <x:c r="H467" s="9" t="str">
        <x:v>Есть сведения; см. ограничения</x:v>
      </x:c>
      <x:c r="I467" s="9" t="str">
        <x:v>См. карточку</x:v>
      </x:c>
      <x:c r="J467" s="10" t="n">
        <x:v>1</x:v>
      </x:c>
      <x:c r="K467" s="9" t="str">
        <x:v>Сравнивать состав набора по отдельным товарам</x:v>
      </x:c>
      <x:c r="L467" s="9"/>
      <x:c r="M467" s="11" t="str">
        <x:v>https://organic-mix.ru/catalog/krepkaya-rassada-kombo-ot-organik-miks/</x:v>
      </x:c>
      <x:c r="N467" s="11"/>
    </x:row>
    <x:row r="468" ht="68" customHeight="1">
      <x:c r="A468" s="6" t="str">
        <x:v>P0463</x:v>
      </x:c>
      <x:c r="B468" s="6" t="str">
        <x:v>Органик Микс</x:v>
      </x:c>
      <x:c r="C468" s="6" t="str">
        <x:v>Кукарука Органик Микс</x:v>
      </x:c>
      <x:c r="D468" s="6" t="str">
        <x:v>Хозяйственное средство</x:v>
      </x:c>
      <x:c r="E468" s="6" t="str">
        <x:v>Розничный каталог</x:v>
      </x:c>
      <x:c r="F468" s="6" t="str">
        <x:v>G26</x:v>
      </x:c>
      <x:c r="G468" s="6" t="str">
        <x:v>NPK 9-0-0 Продукт переработки кукурузы</x:v>
      </x:c>
      <x:c r="H468" s="6" t="str">
        <x:v>Есть сведения; см. ограничения</x:v>
      </x:c>
      <x:c r="I468" s="6" t="str">
        <x:v>См. карточку</x:v>
      </x:c>
      <x:c r="J468" s="12" t="n">
        <x:v>4</x:v>
      </x:c>
      <x:c r="K468" s="6" t="str">
        <x:v>См. коды и ограничения на листе «Сопоставления»</x:v>
      </x:c>
      <x:c r="L468" s="6"/>
      <x:c r="M468" s="13" t="str">
        <x:v>https://organic-mix.ru/catalog/kukaruka-organik-miks-7-kg-vedro/</x:v>
      </x:c>
      <x:c r="N468" s="13"/>
    </x:row>
    <x:row r="469" ht="68" customHeight="1">
      <x:c r="A469" s="9" t="str">
        <x:v>P0464</x:v>
      </x:c>
      <x:c r="B469" s="9" t="str">
        <x:v>Органик Микс</x:v>
      </x:c>
      <x:c r="C469" s="9" t="str">
        <x:v>Луковичное - Комбо от Органик Микс + ПОДАРОК</x:v>
      </x:c>
      <x:c r="D469" s="9" t="str">
        <x:v>Набор, не отдельный препарат</x:v>
      </x:c>
      <x:c r="E469" s="9" t="str">
        <x:v>Розничный каталог</x:v>
      </x:c>
      <x:c r="F469" s="9" t="str">
        <x:v>—</x:v>
      </x:c>
      <x:c r="G469" s="9" t="str">
        <x:v>Удобрение для луковичных 2,8 кг - 1 шт; Кальцегарден 3,6 кг - 1 шт; ПОДАРОК: Биокорень 50 г - 1 шт.</x:v>
      </x:c>
      <x:c r="H469" s="9" t="str">
        <x:v>Есть сведения; см. ограничения</x:v>
      </x:c>
      <x:c r="I469" s="9" t="str">
        <x:v>См. карточку</x:v>
      </x:c>
      <x:c r="J469" s="10" t="n">
        <x:v>1</x:v>
      </x:c>
      <x:c r="K469" s="9" t="str">
        <x:v>Сравнивать состав набора по отдельным товарам</x:v>
      </x:c>
      <x:c r="L469" s="9"/>
      <x:c r="M469" s="11" t="str">
        <x:v>https://organic-mix.ru/catalog/lukovichnoe-kombo-ot-organik-miks-podarok/</x:v>
      </x:c>
      <x:c r="N469" s="11"/>
    </x:row>
    <x:row r="470" ht="68" customHeight="1">
      <x:c r="A470" s="6" t="str">
        <x:v>P0465</x:v>
      </x:c>
      <x:c r="B470" s="6" t="str">
        <x:v>Органик Микс</x:v>
      </x:c>
      <x:c r="C470" s="6" t="str">
        <x:v>Луковичные цветы - Комбо от Органик Микс (+ ПОДАРОК - Костная мука )</x:v>
      </x:c>
      <x:c r="D470" s="6" t="str">
        <x:v>Набор, не отдельный препарат</x:v>
      </x:c>
      <x:c r="E470" s="6" t="str">
        <x:v>Розничный каталог</x:v>
      </x:c>
      <x:c r="F470" s="6" t="str">
        <x:v>—</x:v>
      </x:c>
      <x:c r="G470" s="6" t="str">
        <x:v>Количественный состав в прочитанном тексте не найден; см. карточку</x:v>
      </x:c>
      <x:c r="H470" s="6" t="str">
        <x:v>Описание не прочитано/пустое</x:v>
      </x:c>
      <x:c r="I470" s="6" t="str">
        <x:v>Сухой продукт</x:v>
      </x:c>
      <x:c r="J470" s="12" t="n">
        <x:v>1</x:v>
      </x:c>
      <x:c r="K470" s="6" t="str">
        <x:v>Сравнивать состав набора по отдельным товарам</x:v>
      </x:c>
      <x:c r="L470" s="6"/>
      <x:c r="M470" s="13" t="str">
        <x:v>https://organic-mix.ru/catalog/lukovichnye-tsvety-kombo-ot-organik-miks-podarok-kostnaya-muka-850-gr-/</x:v>
      </x:c>
      <x:c r="N470" s="13"/>
    </x:row>
    <x:row r="471" ht="68" customHeight="1">
      <x:c r="A471" s="9" t="str">
        <x:v>P0466</x:v>
      </x:c>
      <x:c r="B471" s="9" t="str">
        <x:v>Органик Микс</x:v>
      </x:c>
      <x:c r="C471" s="9" t="str">
        <x:v>МИЛЛИОН РОЗ - Комбо от Органик Микс</x:v>
      </x:c>
      <x:c r="D471" s="9" t="str">
        <x:v>Набор, не отдельный препарат</x:v>
      </x:c>
      <x:c r="E471" s="9" t="str">
        <x:v>Розничный каталог</x:v>
      </x:c>
      <x:c r="F471" s="9" t="str">
        <x:v>—</x:v>
      </x:c>
      <x:c r="G471" s="9" t="str">
        <x:v>Количественный состав в прочитанном тексте не найден; см. карточку</x:v>
      </x:c>
      <x:c r="H471" s="9" t="str">
        <x:v>Описание не прочитано/пустое</x:v>
      </x:c>
      <x:c r="I471" s="9" t="str">
        <x:v>См. карточку</x:v>
      </x:c>
      <x:c r="J471" s="10" t="n">
        <x:v>1</x:v>
      </x:c>
      <x:c r="K471" s="9" t="str">
        <x:v>Сравнивать состав набора по отдельным товарам</x:v>
      </x:c>
      <x:c r="L471" s="9"/>
      <x:c r="M471" s="11" t="str">
        <x:v>https://organic-mix.ru/catalog/million-roz-kombo-ot-organik-miks/</x:v>
      </x:c>
      <x:c r="N471" s="11"/>
    </x:row>
    <x:row r="472" ht="68" customHeight="1">
      <x:c r="A472" s="6" t="str">
        <x:v>P0467</x:v>
      </x:c>
      <x:c r="B472" s="6" t="str">
        <x:v>Органик Микс</x:v>
      </x:c>
      <x:c r="C472" s="6" t="str">
        <x:v>МОРСКАЯ КЛАССИКА - Комбо от Органик Микс</x:v>
      </x:c>
      <x:c r="D472" s="6" t="str">
        <x:v>Набор, не отдельный препарат</x:v>
      </x:c>
      <x:c r="E472" s="6" t="str">
        <x:v>Розничный каталог</x:v>
      </x:c>
      <x:c r="F472" s="6" t="str">
        <x:v>—</x:v>
      </x:c>
      <x:c r="G472" s="6" t="str">
        <x:v>Количественный состав в прочитанном тексте не найден; см. карточку</x:v>
      </x:c>
      <x:c r="H472" s="6" t="str">
        <x:v>Полного состава нет в тексте</x:v>
      </x:c>
      <x:c r="I472" s="6" t="str">
        <x:v>См. карточку</x:v>
      </x:c>
      <x:c r="J472" s="12" t="n">
        <x:v>1</x:v>
      </x:c>
      <x:c r="K472" s="6" t="str">
        <x:v>Сравнивать состав набора по отдельным товарам</x:v>
      </x:c>
      <x:c r="L472" s="6"/>
      <x:c r="M472" s="13" t="str">
        <x:v>https://organic-mix.ru/catalog/morskaya-klassika-kombo-ot-organik-miks/</x:v>
      </x:c>
      <x:c r="N472" s="13"/>
    </x:row>
    <x:row r="473" ht="68" customHeight="1">
      <x:c r="A473" s="9" t="str">
        <x:v>P0468</x:v>
      </x:c>
      <x:c r="B473" s="9" t="str">
        <x:v>Органик Микс</x:v>
      </x:c>
      <x:c r="C473" s="9" t="str">
        <x:v>МОРСКОЕ АССОРТИ - Комбо от Органик Микс</x:v>
      </x:c>
      <x:c r="D473" s="9" t="str">
        <x:v>Набор, не отдельный препарат</x:v>
      </x:c>
      <x:c r="E473" s="9" t="str">
        <x:v>Розничный каталог</x:v>
      </x:c>
      <x:c r="F473" s="9" t="str">
        <x:v>—</x:v>
      </x:c>
      <x:c r="G473" s="9" t="str">
        <x:v>Количественный состав в прочитанном тексте не найден; см. карточку</x:v>
      </x:c>
      <x:c r="H473" s="9" t="str">
        <x:v>Описание не прочитано/пустое</x:v>
      </x:c>
      <x:c r="I473" s="9" t="str">
        <x:v>См. карточку</x:v>
      </x:c>
      <x:c r="J473" s="10" t="n">
        <x:v>1</x:v>
      </x:c>
      <x:c r="K473" s="9" t="str">
        <x:v>Сравнивать состав набора по отдельным товарам</x:v>
      </x:c>
      <x:c r="L473" s="9"/>
      <x:c r="M473" s="11" t="str">
        <x:v>https://organic-mix.ru/catalog/morskoe-assorti-kombo-ot-organik-miks/</x:v>
      </x:c>
      <x:c r="N473" s="11"/>
    </x:row>
    <x:row r="474" ht="82" customHeight="1">
      <x:c r="A474" s="6" t="str">
        <x:v>P0469</x:v>
      </x:c>
      <x:c r="B474" s="6" t="str">
        <x:v>Органик Микс</x:v>
      </x:c>
      <x:c r="C474" s="6" t="str">
        <x:v>Набор весенний №1 для заправки грядок от Органик Микс 2024</x:v>
      </x:c>
      <x:c r="D474" s="6" t="str">
        <x:v>Набор, не отдельный препарат</x:v>
      </x:c>
      <x:c r="E474" s="6" t="str">
        <x:v>Розничный каталог</x:v>
      </x:c>
      <x:c r="F474" s="6" t="str">
        <x:v>—</x:v>
      </x:c>
      <x:c r="G474" s="6" t="str">
        <x:v>Удобрение весеннее 2,8 кг - 1 шт; Удобрение для пересадки и рассады 850 г - 1шт Структурин 1,3 кг - 1 шт; КальцеГарден 1,3 кг - 1 шт; БиоКорень - 1 шт; Мука из морских водорослей 850 г - 1 шт; Инструкция - 1 шт; Блокнот - 1 шт; Ручка - 1 шт.</x:v>
      </x:c>
      <x:c r="H474" s="6" t="str">
        <x:v>Есть сведения; см. ограничения</x:v>
      </x:c>
      <x:c r="I474" s="6" t="str">
        <x:v>См. карточку</x:v>
      </x:c>
      <x:c r="J474" s="12" t="n">
        <x:v>1</x:v>
      </x:c>
      <x:c r="K474" s="6" t="str">
        <x:v>Сравнивать состав набора по отдельным товарам</x:v>
      </x:c>
      <x:c r="L474" s="6"/>
      <x:c r="M474" s="13" t="str">
        <x:v>https://organic-mix.ru/catalog/nabor-vesenniy-1-dlya-zapravki-gryadok-ot-organik-miks-2024/</x:v>
      </x:c>
      <x:c r="N474" s="13"/>
    </x:row>
    <x:row r="475" ht="82" customHeight="1">
      <x:c r="A475" s="9" t="str">
        <x:v>P0470</x:v>
      </x:c>
      <x:c r="B475" s="9" t="str">
        <x:v>Органик Микс</x:v>
      </x:c>
      <x:c r="C475" s="9" t="str">
        <x:v>Набор весенний №2 для весенней подкормки от Органик Микс 2024</x:v>
      </x:c>
      <x:c r="D475" s="9" t="str">
        <x:v>Набор, не отдельный препарат</x:v>
      </x:c>
      <x:c r="E475" s="9" t="str">
        <x:v>Розничный каталог</x:v>
      </x:c>
      <x:c r="F475" s="9" t="str">
        <x:v>—</x:v>
      </x:c>
      <x:c r="G475" s="9" t="str">
        <x:v>Удобрение весеннее 2,8 кг - 1 шт; Морской коктейль (жидкий) 5 л - 1 шт; Ленивый азот 750 г - 1 шт; Магний для органического земледелия 350 г - 1 шт; Мука из морских водорослей 200 г - 1 шт; Инструкция - 1 шт; Блокнот - 1 шт; Ручка - 1 шт;</x:v>
      </x:c>
      <x:c r="H475" s="9" t="str">
        <x:v>Есть сведения; см. ограничения</x:v>
      </x:c>
      <x:c r="I475" s="9" t="str">
        <x:v>См. карточку</x:v>
      </x:c>
      <x:c r="J475" s="10" t="n">
        <x:v>1</x:v>
      </x:c>
      <x:c r="K475" s="9" t="str">
        <x:v>Сравнивать состав набора по отдельным товарам</x:v>
      </x:c>
      <x:c r="L475" s="9"/>
      <x:c r="M475" s="11" t="str">
        <x:v>https://organic-mix.ru/catalog/nabor-vesenniy-2-dlya-vesenney-podkormki-ot-organik-miks-2024/</x:v>
      </x:c>
      <x:c r="N475" s="11"/>
    </x:row>
    <x:row r="476" ht="138" customHeight="1">
      <x:c r="A476" s="6" t="str">
        <x:v>P0471</x:v>
      </x:c>
      <x:c r="B476" s="6" t="str">
        <x:v>Органик Микс</x:v>
      </x:c>
      <x:c r="C476" s="6" t="str">
        <x:v>Набор ГОДОВОЙ ЗАПАС УДОБРЕНИЙ от Органик Микс</x:v>
      </x:c>
      <x:c r="D476" s="6" t="str">
        <x:v>Набор, не отдельный препарат</x:v>
      </x:c>
      <x:c r="E476" s="6" t="str">
        <x:v>Розничный каталог</x:v>
      </x:c>
      <x:c r="F476" s="6" t="str">
        <x:v>—</x:v>
      </x:c>
      <x:c r="G476" s="6" t="str">
        <x:v>Удобрение Универсальное 850 гр - 1 шт; Удобрение для пересадки и рассады 850 гр - 1 шт; Ленивый азот 750 гр - 1 шт; Удобрение для роз и цветов 850 гр - 1 шт; Удобрение для клубники и ягодных 800 гр - 1 шт; Удобрение для томатов 850 гр - 1 шт; Удобрение для огурцов 850 гр - 1 шт; Удобрение для цветов Бельгийская серия 150 гр - 1 шт; Морской коктейль (жидкий) 900 мл - 1 шт; Эликсир № 1 для Овощей (NEW) 900 мл - 1 шт; Эликсир №… (сокращено)</x:v>
      </x:c>
      <x:c r="H476" s="6" t="str">
        <x:v>Есть сведения; см. ограничения</x:v>
      </x:c>
      <x:c r="I476" s="6" t="str">
        <x:v>См. карточку</x:v>
      </x:c>
      <x:c r="J476" s="12" t="n">
        <x:v>1</x:v>
      </x:c>
      <x:c r="K476" s="6" t="str">
        <x:v>Сравнивать состав набора по отдельным товарам</x:v>
      </x:c>
      <x:c r="L476" s="6"/>
      <x:c r="M476" s="13" t="str">
        <x:v>https://organic-mix.ru/catalog/nabor-godovoy-zapas-udobreniy-ot-organik-miks/</x:v>
      </x:c>
      <x:c r="N476" s="13"/>
    </x:row>
    <x:row r="477" ht="124" customHeight="1">
      <x:c r="A477" s="9" t="str">
        <x:v>P0472</x:v>
      </x:c>
      <x:c r="B477" s="9" t="str">
        <x:v>Органик Микс</x:v>
      </x:c>
      <x:c r="C477" s="9" t="str">
        <x:v>Набор для выращивания гигантских тыкв</x:v>
      </x:c>
      <x:c r="D477" s="9" t="str">
        <x:v>Набор, не отдельный препарат</x:v>
      </x:c>
      <x:c r="E477" s="9" t="str">
        <x:v>Розничный каталог</x:v>
      </x:c>
      <x:c r="F477" s="9" t="str">
        <x:v>—</x:v>
      </x:c>
      <x:c r="G477" s="9" t="str">
        <x:v>Биогумус 4л. — 1шт Удобрение весеннее, 850гр. — 1шт Морской коктейль, 900гр. — 1шт Удобрение для овощей, Бельгийская серия, 150гр. — 1шт Мука из морских водорослей, 200гр. — 1шт Магний для органического земледелия, 350гр. — 1шт Биотонус, 18гр. — 1шт Биокорень, 20гр. — 1шт Технологическая карта по выращиванию гигантских тыкв на картоне — 1шт Для достижения желаемого результата рекомендуем дополнительно приобрести: семена… (сокращено)</x:v>
      </x:c>
      <x:c r="H477" s="9" t="str">
        <x:v>Есть сведения; см. ограничения</x:v>
      </x:c>
      <x:c r="I477" s="9" t="str">
        <x:v>См. карточку</x:v>
      </x:c>
      <x:c r="J477" s="10" t="n">
        <x:v>1</x:v>
      </x:c>
      <x:c r="K477" s="9" t="str">
        <x:v>Сравнивать состав набора по отдельным товарам</x:v>
      </x:c>
      <x:c r="L477" s="9"/>
      <x:c r="M477" s="11" t="str">
        <x:v>https://organic-mix.ru/catalog/nabor-dlya-vyrashchivaniya-gigantskoy-tykvy/</x:v>
      </x:c>
      <x:c r="N477" s="11"/>
    </x:row>
    <x:row r="478" ht="96" customHeight="1">
      <x:c r="A478" s="6" t="str">
        <x:v>P0473</x:v>
      </x:c>
      <x:c r="B478" s="6" t="str">
        <x:v>Органик Микс</x:v>
      </x:c>
      <x:c r="C478" s="6" t="str">
        <x:v>Набор для домашнего огорода на окне "Органик Микс" 2023</x:v>
      </x:c>
      <x:c r="D478" s="6" t="str">
        <x:v>Набор, не отдельный препарат</x:v>
      </x:c>
      <x:c r="E478" s="6" t="str">
        <x:v>Розничный каталог</x:v>
      </x:c>
      <x:c r="F478" s="6" t="str">
        <x:v>—</x:v>
      </x:c>
      <x:c r="G478" s="6" t="str">
        <x:v>Инструкция; Грунт для семян и черенков 4 л - 1 шт; Грунт для домашнего огорода 4л - 3 шт; Удобрение для овощей «Бельгийская серия» 150 г - 1 шт; Морской коктейль (жидкий) 250 мл - 1 шт; Разрыхлин 1,2 л - 1 шт;. Биокорень 20 г - 1 шт; Аминорост 30 г - 1 шт; Биотонус 18 г - 1 шт;</x:v>
      </x:c>
      <x:c r="H478" s="6" t="str">
        <x:v>Есть сведения; см. ограничения</x:v>
      </x:c>
      <x:c r="I478" s="6" t="str">
        <x:v>См. карточку</x:v>
      </x:c>
      <x:c r="J478" s="12" t="n">
        <x:v>1</x:v>
      </x:c>
      <x:c r="K478" s="6" t="str">
        <x:v>Сравнивать состав набора по отдельным товарам</x:v>
      </x:c>
      <x:c r="L478" s="6"/>
      <x:c r="M478" s="13" t="str">
        <x:v>https://organic-mix.ru/catalog/nabor-dlya-domashnego-ogoroda-na-okne-organik-miks-2023/</x:v>
      </x:c>
      <x:c r="N478" s="13"/>
    </x:row>
    <x:row r="479" ht="68" customHeight="1">
      <x:c r="A479" s="9" t="str">
        <x:v>P0474</x:v>
      </x:c>
      <x:c r="B479" s="9" t="str">
        <x:v>Органик Микс</x:v>
      </x:c>
      <x:c r="C479" s="9" t="str">
        <x:v>Набор для ИСПЫТАТЕЛЕЙ № 5 от Органик Микс (испытательный образец)</x:v>
      </x:c>
      <x:c r="D479" s="9" t="str">
        <x:v>Набор, не отдельный препарат</x:v>
      </x:c>
      <x:c r="E479" s="9" t="str">
        <x:v>Розничный каталог</x:v>
      </x:c>
      <x:c r="F479" s="9" t="str">
        <x:v>—</x:v>
      </x:c>
      <x:c r="G479" s="9" t="str">
        <x:v>Количественный состав в прочитанном тексте не найден; см. карточку</x:v>
      </x:c>
      <x:c r="H479" s="9" t="str">
        <x:v>Описание не прочитано/пустое</x:v>
      </x:c>
      <x:c r="I479" s="9" t="str">
        <x:v>См. карточку</x:v>
      </x:c>
      <x:c r="J479" s="10" t="n">
        <x:v>1</x:v>
      </x:c>
      <x:c r="K479" s="9" t="str">
        <x:v>Сравнивать состав набора по отдельным товарам</x:v>
      </x:c>
      <x:c r="L479" s="9"/>
      <x:c r="M479" s="11" t="str">
        <x:v>https://organic-mix.ru/catalog/nabor-dlya-ispytateley-5-ot-organik-miks-ispytatelnyy-obrazets-/</x:v>
      </x:c>
      <x:c r="N479" s="11"/>
    </x:row>
    <x:row r="480" ht="68" customHeight="1">
      <x:c r="A480" s="6" t="str">
        <x:v>P0475</x:v>
      </x:c>
      <x:c r="B480" s="6" t="str">
        <x:v>Органик Микс</x:v>
      </x:c>
      <x:c r="C480" s="6" t="str">
        <x:v>Набор для ИСПЫТАТЕЛЕЙ № 6 от Органик Микс (Состав: Блеск для листьев, БИОАКТИВАТОР грунта, ЖИВОЛИСТ (СПРЕЙ)) испытательные образцы</x:v>
      </x:c>
      <x:c r="D480" s="6" t="str">
        <x:v>Набор, не отдельный препарат</x:v>
      </x:c>
      <x:c r="E480" s="6" t="str">
        <x:v>Розничный каталог</x:v>
      </x:c>
      <x:c r="F480" s="6" t="str">
        <x:v>—</x:v>
      </x:c>
      <x:c r="G480" s="6" t="str">
        <x:v>Количественный состав в прочитанном тексте не найден; см. карточку</x:v>
      </x:c>
      <x:c r="H480" s="6" t="str">
        <x:v>Описание не прочитано/пустое</x:v>
      </x:c>
      <x:c r="I480" s="6" t="str">
        <x:v>Готовый спрей</x:v>
      </x:c>
      <x:c r="J480" s="12" t="n">
        <x:v>1</x:v>
      </x:c>
      <x:c r="K480" s="6" t="str">
        <x:v>Сравнивать состав набора по отдельным товарам</x:v>
      </x:c>
      <x:c r="L480" s="6"/>
      <x:c r="M480" s="13" t="str">
        <x:v>https://organic-mix.ru/catalog/nabor-dlya-ispytateley-6-ot-organik-miks-ispytatelnyy-obrazets-/</x:v>
      </x:c>
      <x:c r="N480" s="13"/>
    </x:row>
    <x:row r="481" ht="68" customHeight="1">
      <x:c r="A481" s="9" t="str">
        <x:v>P0476</x:v>
      </x:c>
      <x:c r="B481" s="9" t="str">
        <x:v>Органик Микс</x:v>
      </x:c>
      <x:c r="C481" s="9" t="str">
        <x:v>Набор для компостирования от Органик Микс</x:v>
      </x:c>
      <x:c r="D481" s="9" t="str">
        <x:v>Набор, не отдельный препарат</x:v>
      </x:c>
      <x:c r="E481" s="9" t="str">
        <x:v>Розничный каталог</x:v>
      </x:c>
      <x:c r="F481" s="9" t="str">
        <x:v>—</x:v>
      </x:c>
      <x:c r="G481" s="9" t="str">
        <x:v>Шеф-компост 4 л - 1 шт; Ускоритель компостирования 4 л - 1 шт; Эм-патока 900 мл - 1 шт; Термометр (подарок) - 1 шт</x:v>
      </x:c>
      <x:c r="H481" s="9" t="str">
        <x:v>Есть сведения; см. ограничения</x:v>
      </x:c>
      <x:c r="I481" s="9" t="str">
        <x:v>См. карточку</x:v>
      </x:c>
      <x:c r="J481" s="10" t="n">
        <x:v>1</x:v>
      </x:c>
      <x:c r="K481" s="9" t="str">
        <x:v>Сравнивать состав набора по отдельным товарам</x:v>
      </x:c>
      <x:c r="L481" s="9"/>
      <x:c r="M481" s="11" t="str">
        <x:v>https://organic-mix.ru/catalog/nabor-dlya-kompostirovaniya/</x:v>
      </x:c>
      <x:c r="N481" s="11"/>
    </x:row>
    <x:row r="482" ht="68" customHeight="1">
      <x:c r="A482" s="6" t="str">
        <x:v>P0477</x:v>
      </x:c>
      <x:c r="B482" s="6" t="str">
        <x:v>Органик Микс</x:v>
      </x:c>
      <x:c r="C482" s="6" t="str">
        <x:v>Набор для посадки чеснока - Комбо</x:v>
      </x:c>
      <x:c r="D482" s="6" t="str">
        <x:v>Набор, не отдельный препарат</x:v>
      </x:c>
      <x:c r="E482" s="6" t="str">
        <x:v>Розничный каталог</x:v>
      </x:c>
      <x:c r="F482" s="6" t="str">
        <x:v>—</x:v>
      </x:c>
      <x:c r="G482" s="6" t="str">
        <x:v>Удобрение для луковичных 850 г - 1 шт Почвочист 850 г - 1 шт Кальцегарден 1,3 кг - 1 шт</x:v>
      </x:c>
      <x:c r="H482" s="6" t="str">
        <x:v>Есть сведения; см. ограничения</x:v>
      </x:c>
      <x:c r="I482" s="6" t="str">
        <x:v>См. карточку</x:v>
      </x:c>
      <x:c r="J482" s="12" t="n">
        <x:v>1</x:v>
      </x:c>
      <x:c r="K482" s="6" t="str">
        <x:v>Сравнивать состав набора по отдельным товарам</x:v>
      </x:c>
      <x:c r="L482" s="6"/>
      <x:c r="M482" s="13" t="str">
        <x:v>https://organic-mix.ru/catalog/nabor-dlya-posadki-chesnoka-ot-organik-miks-podarok-kaltsegarden-1-3kg-/</x:v>
      </x:c>
      <x:c r="N482" s="13"/>
    </x:row>
    <x:row r="483" ht="82" customHeight="1">
      <x:c r="A483" s="9" t="str">
        <x:v>P0478</x:v>
      </x:c>
      <x:c r="B483" s="9" t="str">
        <x:v>Органик Микс</x:v>
      </x:c>
      <x:c r="C483" s="9" t="str">
        <x:v>Набор для Рассады с Биогумусом и Разрыхлином Органик Микс ( № 1)</x:v>
      </x:c>
      <x:c r="D483" s="9" t="str">
        <x:v>Набор, не отдельный препарат</x:v>
      </x:c>
      <x:c r="E483" s="9" t="str">
        <x:v>Розничный каталог</x:v>
      </x:c>
      <x:c r="F483" s="9" t="str">
        <x:v>—</x:v>
      </x:c>
      <x:c r="G483" s="9" t="str">
        <x:v>Биогумус высшего качества 4 л - 1шт; Разрыхлин 4 л - 1 шт; Грунт для семян и черенков 4 л - 1 шт; Фитостарт 0,6 г - 1 шт; Эликсир № 1 для рассады 900 мл - 1шт; АминоРост 30 г - 1 шт; БиоКорень 20 г - 1 шт; Инструкция - 1 шт.</x:v>
      </x:c>
      <x:c r="H483" s="9" t="str">
        <x:v>Есть сведения; см. ограничения</x:v>
      </x:c>
      <x:c r="I483" s="9" t="str">
        <x:v>См. карточку</x:v>
      </x:c>
      <x:c r="J483" s="10" t="n">
        <x:v>1</x:v>
      </x:c>
      <x:c r="K483" s="9" t="str">
        <x:v>Сравнивать состав набора по отдельным товарам</x:v>
      </x:c>
      <x:c r="L483" s="9"/>
      <x:c r="M483" s="11" t="str">
        <x:v>https://organic-mix.ru/catalog/nabor-dlya-rassady-2024-g-s-biogumusom-i-razrykhlinom-organik-miks-1/</x:v>
      </x:c>
      <x:c r="N483" s="11"/>
    </x:row>
    <x:row r="484" ht="68" customHeight="1">
      <x:c r="A484" s="6" t="str">
        <x:v>P0479</x:v>
      </x:c>
      <x:c r="B484" s="6" t="str">
        <x:v>Органик Микс</x:v>
      </x:c>
      <x:c r="C484" s="6" t="str">
        <x:v>Набор для Рассады с готовым грунтом Органик Микс ( № 2 )</x:v>
      </x:c>
      <x:c r="D484" s="6" t="str">
        <x:v>Набор, не отдельный препарат</x:v>
      </x:c>
      <x:c r="E484" s="6" t="str">
        <x:v>Розничный каталог</x:v>
      </x:c>
      <x:c r="F484" s="6" t="str">
        <x:v>—</x:v>
      </x:c>
      <x:c r="G484" s="6" t="str">
        <x:v>Грунт для рассады 4 л - 5 шт; Грунт для семян и черенков 4 л - 1 шт; Фитостарт 0,6 г - 1 шт; Эликсир №1 для Рассады 900 мл - 1 шт; АминоРост 30 г - 1 шт; БиоКорень 20 г - 1 шт; Инструкция - 1 шт;</x:v>
      </x:c>
      <x:c r="H484" s="6" t="str">
        <x:v>Есть сведения; см. ограничения</x:v>
      </x:c>
      <x:c r="I484" s="6" t="str">
        <x:v>См. карточку</x:v>
      </x:c>
      <x:c r="J484" s="12" t="n">
        <x:v>1</x:v>
      </x:c>
      <x:c r="K484" s="6" t="str">
        <x:v>Сравнивать состав набора по отдельным товарам</x:v>
      </x:c>
      <x:c r="L484" s="6"/>
      <x:c r="M484" s="13" t="str">
        <x:v>https://organic-mix.ru/catalog/nabor-dlya-rassady-2024-g-s-gotovym-gruntom-organik-miks-2/</x:v>
      </x:c>
      <x:c r="N484" s="13"/>
    </x:row>
    <x:row r="485" ht="68" customHeight="1">
      <x:c r="A485" s="9" t="str">
        <x:v>P0480</x:v>
      </x:c>
      <x:c r="B485" s="9" t="str">
        <x:v>Органик Микс</x:v>
      </x:c>
      <x:c r="C485" s="9" t="str">
        <x:v>Набор ЗАПРАВКА ГРЯДКИ ПРО КОРНЕПЛОДЫ от Органик Микс</x:v>
      </x:c>
      <x:c r="D485" s="9" t="str">
        <x:v>Набор, не отдельный препарат</x:v>
      </x:c>
      <x:c r="E485" s="9" t="str">
        <x:v>Розничный каталог</x:v>
      </x:c>
      <x:c r="F485" s="9" t="str">
        <x:v>—</x:v>
      </x:c>
      <x:c r="G485" s="9" t="str">
        <x:v>Костная мука 850г-1шт; Рыбная мука 850г- 1шт; Мука из водорослей 850г-1шт; Кровяная мука 850г-1шт</x:v>
      </x:c>
      <x:c r="H485" s="9" t="str">
        <x:v>Есть сведения; см. ограничения</x:v>
      </x:c>
      <x:c r="I485" s="9" t="str">
        <x:v>См. карточку</x:v>
      </x:c>
      <x:c r="J485" s="10" t="n">
        <x:v>1</x:v>
      </x:c>
      <x:c r="K485" s="9" t="str">
        <x:v>Сравнивать состав набора по отдельным товарам</x:v>
      </x:c>
      <x:c r="L485" s="9"/>
      <x:c r="M485" s="11" t="str">
        <x:v>https://organic-mix.ru/catalog/nabor-zapravka-gryadki-pro-korneplody-ot-organik-miks-/</x:v>
      </x:c>
      <x:c r="N485" s="11"/>
    </x:row>
    <x:row r="486" ht="68" customHeight="1">
      <x:c r="A486" s="6" t="str">
        <x:v>P0481</x:v>
      </x:c>
      <x:c r="B486" s="6" t="str">
        <x:v>Органик Микс</x:v>
      </x:c>
      <x:c r="C486" s="6" t="str">
        <x:v>Набор ЗАПРАВКА ГРЯДКИ ПРО ОВОЩИ от Органик Микс</x:v>
      </x:c>
      <x:c r="D486" s="6" t="str">
        <x:v>Набор, не отдельный препарат</x:v>
      </x:c>
      <x:c r="E486" s="6" t="str">
        <x:v>Розничный каталог</x:v>
      </x:c>
      <x:c r="F486" s="6" t="str">
        <x:v>—</x:v>
      </x:c>
      <x:c r="G486" s="6" t="str">
        <x:v>Рыбная мука 850г- 1шт; Костная мука 850г-1шт; Рогокопытный шрот 1,2л-1шт; Мука из водорослей 850г-1шт.</x:v>
      </x:c>
      <x:c r="H486" s="6" t="str">
        <x:v>Есть сведения; см. ограничения</x:v>
      </x:c>
      <x:c r="I486" s="6" t="str">
        <x:v>См. карточку</x:v>
      </x:c>
      <x:c r="J486" s="12" t="n">
        <x:v>1</x:v>
      </x:c>
      <x:c r="K486" s="6" t="str">
        <x:v>Сравнивать состав набора по отдельным товарам</x:v>
      </x:c>
      <x:c r="L486" s="6"/>
      <x:c r="M486" s="13" t="str">
        <x:v>https://organic-mix.ru/catalog/nabor-zapravka-gryadki-pro-ovoshchi-ot-organik-miks-/</x:v>
      </x:c>
      <x:c r="N486" s="13"/>
    </x:row>
    <x:row r="487" ht="68" customHeight="1">
      <x:c r="A487" s="9" t="str">
        <x:v>P0482</x:v>
      </x:c>
      <x:c r="B487" s="9" t="str">
        <x:v>Органик Микс</x:v>
      </x:c>
      <x:c r="C487" s="9" t="str">
        <x:v>Набор КОМПЛЕКСНАЯ ЗАБОТА от Органик Микс</x:v>
      </x:c>
      <x:c r="D487" s="9" t="str">
        <x:v>Набор, не отдельный препарат</x:v>
      </x:c>
      <x:c r="E487" s="9" t="str">
        <x:v>Розничный каталог</x:v>
      </x:c>
      <x:c r="F487" s="9" t="str">
        <x:v>—</x:v>
      </x:c>
      <x:c r="G487" s="9" t="str">
        <x:v>БИО ХАНТЕР для комнатных СПРЕЙ 500мл-1шт; ЭЛИКСИР № 1 - для Комнатных растений 900 мл-1шт; АминоРост 30г-1шт.</x:v>
      </x:c>
      <x:c r="H487" s="9" t="str">
        <x:v>Есть сведения; см. ограничения</x:v>
      </x:c>
      <x:c r="I487" s="9" t="str">
        <x:v>См. карточку</x:v>
      </x:c>
      <x:c r="J487" s="10" t="n">
        <x:v>1</x:v>
      </x:c>
      <x:c r="K487" s="9" t="str">
        <x:v>Сравнивать состав набора по отдельным товарам</x:v>
      </x:c>
      <x:c r="L487" s="9"/>
      <x:c r="M487" s="11" t="str">
        <x:v>https://organic-mix.ru/catalog/nabor-kompleksnaya-zabota-ot-organik-miks-/</x:v>
      </x:c>
      <x:c r="N487" s="11"/>
    </x:row>
    <x:row r="488" ht="68" customHeight="1">
      <x:c r="A488" s="6" t="str">
        <x:v>P0483</x:v>
      </x:c>
      <x:c r="B488" s="6" t="str">
        <x:v>Органик Микс</x:v>
      </x:c>
      <x:c r="C488" s="6" t="str">
        <x:v>НАБОР Морской коктейль для РАССАДЫ (Гель и Тоник) (Крафт)</x:v>
      </x:c>
      <x:c r="D488" s="6" t="str">
        <x:v>Набор, не отдельный препарат</x:v>
      </x:c>
      <x:c r="E488" s="6" t="str">
        <x:v>Розничный каталог</x:v>
      </x:c>
      <x:c r="F488" s="6" t="str">
        <x:v>—</x:v>
      </x:c>
      <x:c r="G488" s="6" t="str">
        <x:v>Количественный состав в прочитанном тексте не найден; см. карточку</x:v>
      </x:c>
      <x:c r="H488" s="6" t="str">
        <x:v>Описание не прочитано/пустое</x:v>
      </x:c>
      <x:c r="I488" s="6" t="str">
        <x:v>Готовый спрей</x:v>
      </x:c>
      <x:c r="J488" s="12" t="n">
        <x:v>1</x:v>
      </x:c>
      <x:c r="K488" s="6" t="str">
        <x:v>Сравнивать состав набора по отдельным товарам</x:v>
      </x:c>
      <x:c r="L488" s="6"/>
      <x:c r="M488" s="13" t="str">
        <x:v>https://organic-mix.ru/catalog/nabor-morskoy-kokteyl-dlya-rassady-gel-i-tonik-kraft/</x:v>
      </x:c>
      <x:c r="N488" s="13"/>
    </x:row>
    <x:row r="489" ht="138" customHeight="1">
      <x:c r="A489" s="9" t="str">
        <x:v>P0484</x:v>
      </x:c>
      <x:c r="B489" s="9" t="str">
        <x:v>Органик Микс</x:v>
      </x:c>
      <x:c r="C489" s="9" t="str">
        <x:v>Набор Новогодний 2024</x:v>
      </x:c>
      <x:c r="D489" s="9" t="str">
        <x:v>Набор, не отдельный препарат</x:v>
      </x:c>
      <x:c r="E489" s="9" t="str">
        <x:v>Розничный каталог</x:v>
      </x:c>
      <x:c r="F489" s="9" t="str">
        <x:v>—</x:v>
      </x:c>
      <x:c r="G489" s="9" t="str">
        <x:v>Удобрение Универсальное 850 гр - 1 шт; Удобрение для пересадки и рассады 850 гр - 1 шт; Ленивый азот 750 гр - 1 шт; Удобрение для роз и цветов 850 гр - 1 шт; Удобрение для клубники и ягодных 800 гр - 1 шт; Удобрение для томатов 850 гр - 1 шт; Удобрение для огурцов 850 гр - 1 шт; Удобрение для цветов Бельгийская серия 150 гр - 1 шт; Морской коктейль (жидкий) 900 мл - 1 шт; Эликсир № 1 для Овощей (NEW) 900 мл - 1 шт; Эликсир №… (сокращено)</x:v>
      </x:c>
      <x:c r="H489" s="9" t="str">
        <x:v>Есть сведения; см. ограничения</x:v>
      </x:c>
      <x:c r="I489" s="9" t="str">
        <x:v>См. карточку</x:v>
      </x:c>
      <x:c r="J489" s="10" t="n">
        <x:v>1</x:v>
      </x:c>
      <x:c r="K489" s="9" t="str">
        <x:v>Сравнивать состав набора по отдельным товарам</x:v>
      </x:c>
      <x:c r="L489" s="9"/>
      <x:c r="M489" s="11" t="str">
        <x:v>https://organic-mix.ru/catalog/nabor-novogodniy-2024/</x:v>
      </x:c>
      <x:c r="N489" s="11"/>
    </x:row>
    <x:row r="490" ht="68" customHeight="1">
      <x:c r="A490" s="6" t="str">
        <x:v>P0485</x:v>
      </x:c>
      <x:c r="B490" s="6" t="str">
        <x:v>Органик Микс</x:v>
      </x:c>
      <x:c r="C490" s="6" t="str">
        <x:v>Набор ОВОЩНАЯ СИЛА от Органик Микс</x:v>
      </x:c>
      <x:c r="D490" s="6" t="str">
        <x:v>Набор, не отдельный препарат</x:v>
      </x:c>
      <x:c r="E490" s="6" t="str">
        <x:v>Розничный каталог</x:v>
      </x:c>
      <x:c r="F490" s="6" t="str">
        <x:v>—</x:v>
      </x:c>
      <x:c r="G490" s="6" t="str">
        <x:v>Морской коктейль водорастворимый (универсальный) 150г- 2шт; Морской коктейль водорастворимый (для томатов) 150г-1шт; Морской коктейль водорастворимый (для огурцов) 150г-1шт.</x:v>
      </x:c>
      <x:c r="H490" s="6" t="str">
        <x:v>Есть сведения; см. ограничения</x:v>
      </x:c>
      <x:c r="I490" s="6" t="str">
        <x:v>См. карточку</x:v>
      </x:c>
      <x:c r="J490" s="12" t="n">
        <x:v>1</x:v>
      </x:c>
      <x:c r="K490" s="6" t="str">
        <x:v>Сравнивать состав набора по отдельным товарам</x:v>
      </x:c>
      <x:c r="L490" s="6"/>
      <x:c r="M490" s="13" t="str">
        <x:v>https://organic-mix.ru/catalog/nabor-ovoshchnaya-sila-ot-organik-miks-/</x:v>
      </x:c>
      <x:c r="N490" s="13"/>
    </x:row>
    <x:row r="491" ht="110" customHeight="1">
      <x:c r="A491" s="9" t="str">
        <x:v>P0486</x:v>
      </x:c>
      <x:c r="B491" s="9" t="str">
        <x:v>Органик Микс</x:v>
      </x:c>
      <x:c r="C491" s="9" t="str">
        <x:v>Набор осенний 2024 от Органик Микс</x:v>
      </x:c>
      <x:c r="D491" s="9" t="str">
        <x:v>Набор, не отдельный препарат</x:v>
      </x:c>
      <x:c r="E491" s="9" t="str">
        <x:v>Розничный каталог</x:v>
      </x:c>
      <x:c r="F491" s="9" t="str">
        <x:v>—</x:v>
      </x:c>
      <x:c r="G491" s="9" t="str">
        <x:v>- Инструкция по осенней заправке грядок и подкормке многолетних культур; - Антизима 210 г - 1 шт; - Осеннее удобрение 2,8 кг - 1 шт; - Эликсир № 1 Осенний 250 мл - 1 шт; - Кальцегарден 3,6 кг - 1 шт; - Морской коктейль 2,8 кг - 1 шт; - Мука из морских водорослей 200 г - 1 шт; - Удобрение для луковичных 850 г - 1 шт; - Шеф-Компост 850 г - 1 шт; - Структурин 1,3 кг - 2 шт.</x:v>
      </x:c>
      <x:c r="H491" s="9" t="str">
        <x:v>Есть сведения; см. ограничения</x:v>
      </x:c>
      <x:c r="I491" s="9" t="str">
        <x:v>См. карточку</x:v>
      </x:c>
      <x:c r="J491" s="10" t="n">
        <x:v>1</x:v>
      </x:c>
      <x:c r="K491" s="9" t="str">
        <x:v>Сравнивать состав набора по отдельным товарам</x:v>
      </x:c>
      <x:c r="L491" s="9"/>
      <x:c r="M491" s="11" t="str">
        <x:v>https://organic-mix.ru/catalog/nabor-osenniy-2024-ot-organik-miks/</x:v>
      </x:c>
      <x:c r="N491" s="11"/>
    </x:row>
    <x:row r="492" ht="138" customHeight="1">
      <x:c r="A492" s="6" t="str">
        <x:v>P0487</x:v>
      </x:c>
      <x:c r="B492" s="6" t="str">
        <x:v>Органик Микс</x:v>
      </x:c>
      <x:c r="C492" s="6" t="str">
        <x:v>Набор подарочный "8 Марта" от Органик Микс (2024)</x:v>
      </x:c>
      <x:c r="D492" s="6" t="str">
        <x:v>Набор, не отдельный препарат</x:v>
      </x:c>
      <x:c r="E492" s="6" t="str">
        <x:v>Розничный каталог</x:v>
      </x:c>
      <x:c r="F492" s="6" t="str">
        <x:v>—</x:v>
      </x:c>
      <x:c r="G492" s="6" t="str">
        <x:v>Удобрение весеннее 850 г - 1 шт; Удобрение для пересадки и рассады 850 г - 1 шт; Ленивый азот 750 г - 1 шт; Удобрение для роз и цветов 850 г - 1 шт; Удобрение для клубники и ягодных 800 г - 1 шт; Удобрение для томатов 850 г - 1 шт; Удобрение для огурцов 850 г - 1 шт; Удобрение для цветов "Бельгийская серия" 150 г - 1 шт; Морской коктейль (жидкий) - ускоритель роста 900 мл - 1 шт; ЭЛИКСИР № 1 Универсальный 900 мл (NEW) - 1 шт;… (сокращено)</x:v>
      </x:c>
      <x:c r="H492" s="6" t="str">
        <x:v>Есть сведения; см. ограничения</x:v>
      </x:c>
      <x:c r="I492" s="6" t="str">
        <x:v>См. карточку</x:v>
      </x:c>
      <x:c r="J492" s="12" t="n">
        <x:v>1</x:v>
      </x:c>
      <x:c r="K492" s="6" t="str">
        <x:v>Сравнивать состав набора по отдельным товарам</x:v>
      </x:c>
      <x:c r="L492" s="6"/>
      <x:c r="M492" s="13" t="str">
        <x:v>https://organic-mix.ru/catalog/nabor-podarochnyy-8-marta-ot-organik-miks-2024/</x:v>
      </x:c>
      <x:c r="N492" s="13"/>
    </x:row>
    <x:row r="493" ht="68" customHeight="1">
      <x:c r="A493" s="9" t="str">
        <x:v>P0488</x:v>
      </x:c>
      <x:c r="B493" s="9" t="str">
        <x:v>Органик Микс</x:v>
      </x:c>
      <x:c r="C493" s="9" t="str">
        <x:v>Набор РАССАДА ПРО от Органик Микс</x:v>
      </x:c>
      <x:c r="D493" s="9" t="str">
        <x:v>Набор, не отдельный препарат</x:v>
      </x:c>
      <x:c r="E493" s="9" t="str">
        <x:v>Розничный каталог</x:v>
      </x:c>
      <x:c r="F493" s="9" t="str">
        <x:v>—</x:v>
      </x:c>
      <x:c r="G493" s="9" t="str">
        <x:v>Рыбная мука 850г- 1шт; Костная мука 850г-1шт; Рогокопытный шрот 1,2л-1шт; Мука из водорослей 850г-1шт; Магний для органического земледелия 350г-1шт</x:v>
      </x:c>
      <x:c r="H493" s="9" t="str">
        <x:v>Есть сведения; см. ограничения</x:v>
      </x:c>
      <x:c r="I493" s="9" t="str">
        <x:v>См. карточку</x:v>
      </x:c>
      <x:c r="J493" s="10" t="n">
        <x:v>1</x:v>
      </x:c>
      <x:c r="K493" s="9" t="str">
        <x:v>Сравнивать состав набора по отдельным товарам</x:v>
      </x:c>
      <x:c r="L493" s="9"/>
      <x:c r="M493" s="11" t="str">
        <x:v>https://organic-mix.ru/catalog/nabor-rassada-pro-ot-organik-miks/</x:v>
      </x:c>
      <x:c r="N493" s="11"/>
    </x:row>
    <x:row r="494" ht="68" customHeight="1">
      <x:c r="A494" s="6" t="str">
        <x:v>P0489</x:v>
      </x:c>
      <x:c r="B494" s="6" t="str">
        <x:v>Органик Микс</x:v>
      </x:c>
      <x:c r="C494" s="6" t="str">
        <x:v>Набор РАСЦВЕТЕТ от Органик Микс</x:v>
      </x:c>
      <x:c r="D494" s="6" t="str">
        <x:v>Набор, не отдельный препарат</x:v>
      </x:c>
      <x:c r="E494" s="6" t="str">
        <x:v>Розничный каталог</x:v>
      </x:c>
      <x:c r="F494" s="6" t="str">
        <x:v>—</x:v>
      </x:c>
      <x:c r="G494" s="6" t="str">
        <x:v>Морской коктейль водорастворимый (для комнатных растений) 150г-1шт; АминоРост (30г)-1шт; Удобрение для цветов "Бельгийская серия" (в саше) 25г-1шт.</x:v>
      </x:c>
      <x:c r="H494" s="6" t="str">
        <x:v>Есть сведения; см. ограничения</x:v>
      </x:c>
      <x:c r="I494" s="6" t="str">
        <x:v>См. карточку</x:v>
      </x:c>
      <x:c r="J494" s="12" t="n">
        <x:v>1</x:v>
      </x:c>
      <x:c r="K494" s="6" t="str">
        <x:v>Сравнивать состав набора по отдельным товарам</x:v>
      </x:c>
      <x:c r="L494" s="6"/>
      <x:c r="M494" s="13" t="str">
        <x:v>https://organic-mix.ru/catalog/nabor-rastsvetet-ot-organik-miks-/</x:v>
      </x:c>
      <x:c r="N494" s="13"/>
    </x:row>
    <x:row r="495" ht="68" customHeight="1">
      <x:c r="A495" s="9" t="str">
        <x:v>P0490</x:v>
      </x:c>
      <x:c r="B495" s="9" t="str">
        <x:v>Органик Микс</x:v>
      </x:c>
      <x:c r="C495" s="9" t="str">
        <x:v>НАБОР удобрений для ПОЧТА-МАРКЕТ № 3: МК Гель для Комн. раст. + МК Тоник для Комн. раст. 450м</x:v>
      </x:c>
      <x:c r="D495" s="9" t="str">
        <x:v>Набор, не отдельный препарат</x:v>
      </x:c>
      <x:c r="E495" s="9" t="str">
        <x:v>Розничный каталог</x:v>
      </x:c>
      <x:c r="F495" s="9" t="str">
        <x:v>—</x:v>
      </x:c>
      <x:c r="G495" s="9" t="str">
        <x:v>Количественный состав в прочитанном тексте не найден; см. карточку</x:v>
      </x:c>
      <x:c r="H495" s="9" t="str">
        <x:v>Описание не прочитано/пустое</x:v>
      </x:c>
      <x:c r="I495" s="9" t="str">
        <x:v>Готовый спрей</x:v>
      </x:c>
      <x:c r="J495" s="10" t="n">
        <x:v>1</x:v>
      </x:c>
      <x:c r="K495" s="9" t="str">
        <x:v>Сравнивать состав набора по отдельным товарам</x:v>
      </x:c>
      <x:c r="L495" s="9"/>
      <x:c r="M495" s="11" t="str">
        <x:v>https://organic-mix.ru/catalog/</x:v>
      </x:c>
      <x:c r="N495" s="11"/>
    </x:row>
    <x:row r="496" ht="124" customHeight="1">
      <x:c r="A496" s="6" t="str">
        <x:v>P0491</x:v>
      </x:c>
      <x:c r="B496" s="6" t="str">
        <x:v>Органик Микс</x:v>
      </x:c>
      <x:c r="C496" s="6" t="str">
        <x:v>Набор фирменный для выращивания Клубники от Органик Микс (Collection Organic)</x:v>
      </x:c>
      <x:c r="D496" s="6" t="str">
        <x:v>Набор, не отдельный препарат</x:v>
      </x:c>
      <x:c r="E496" s="6" t="str">
        <x:v>Розничный каталог</x:v>
      </x:c>
      <x:c r="F496" s="6" t="str">
        <x:v>—</x:v>
      </x:c>
      <x:c r="G496" s="6" t="str">
        <x:v>Инструкция Удобрение для клубники и ягодных 800г - 2 шт. Удобрение для пересадки и рассады 200г - 1 шт. Эликсир № 1 для ягод 250мл - 1 шт Аминорост 30г - 1 шт Биокорень 20г - 1 шт. Биотонус 18г - 1 шт Антизима 24г - 1 шт Удобрение для клубники и ягодных - комплексное гранулированное органическое удобрение. Увеличивает количество завязей и плодов, делает их сочными и ароматными. Удобрение для пересадки и рассады -… (сокращено)</x:v>
      </x:c>
      <x:c r="H496" s="6" t="str">
        <x:v>Есть сведения; см. ограничения</x:v>
      </x:c>
      <x:c r="I496" s="6" t="str">
        <x:v>См. карточку</x:v>
      </x:c>
      <x:c r="J496" s="12" t="n">
        <x:v>1</x:v>
      </x:c>
      <x:c r="K496" s="6" t="str">
        <x:v>Сравнивать состав набора по отдельным товарам</x:v>
      </x:c>
      <x:c r="L496" s="6"/>
      <x:c r="M496" s="13" t="str">
        <x:v>https://organic-mix.ru/catalog/nabor-dlya-klubniki/</x:v>
      </x:c>
      <x:c r="N496" s="13"/>
    </x:row>
    <x:row r="497" ht="124" customHeight="1">
      <x:c r="A497" s="9" t="str">
        <x:v>P0492</x:v>
      </x:c>
      <x:c r="B497" s="9" t="str">
        <x:v>Органик Микс</x:v>
      </x:c>
      <x:c r="C497" s="9" t="str">
        <x:v>Набор фирменный для выращивания Огурцов от Органик Микс (Collection Organic)</x:v>
      </x:c>
      <x:c r="D497" s="9" t="str">
        <x:v>Набор, не отдельный препарат</x:v>
      </x:c>
      <x:c r="E497" s="9" t="str">
        <x:v>Розничный каталог</x:v>
      </x:c>
      <x:c r="F497" s="9" t="str">
        <x:v>—</x:v>
      </x:c>
      <x:c r="G497" s="9" t="str">
        <x:v>Инструкция Удобрение для огурцов 850г - 1 шт. Биогумус 1,5л - 1 шт. Кальцегарден 350г - 2 шт. Удобрение для пересадки и рассады 200г - 1 шт. Эликсир № 1 для овощей 250мл - 1 шт Аминорост 30г - 1 шт. Биокорень 20г - 1 шт. Биотонус 18г - 1 шт. Удобрение для огурцов - комплексное гранулированное органическое удобрение.Увеличивает количество завязей и плодов, делает огурцы сочными и ароматными. Биогумус - продукт… (сокращено)</x:v>
      </x:c>
      <x:c r="H497" s="9" t="str">
        <x:v>Есть сведения; см. ограничения</x:v>
      </x:c>
      <x:c r="I497" s="9" t="str">
        <x:v>См. карточку</x:v>
      </x:c>
      <x:c r="J497" s="10" t="n">
        <x:v>1</x:v>
      </x:c>
      <x:c r="K497" s="9" t="str">
        <x:v>Сравнивать состав набора по отдельным товарам</x:v>
      </x:c>
      <x:c r="L497" s="9"/>
      <x:c r="M497" s="11" t="str">
        <x:v>https://organic-mix.ru/catalog/nabor-dlya-ogurtsov/</x:v>
      </x:c>
      <x:c r="N497" s="11"/>
    </x:row>
    <x:row r="498" ht="124" customHeight="1">
      <x:c r="A498" s="6" t="str">
        <x:v>P0493</x:v>
      </x:c>
      <x:c r="B498" s="6" t="str">
        <x:v>Органик Микс</x:v>
      </x:c>
      <x:c r="C498" s="6" t="str">
        <x:v>Набор фирменный для выращивания Томатов от Органик Микс (Collection Organic)</x:v>
      </x:c>
      <x:c r="D498" s="6" t="str">
        <x:v>Набор, не отдельный препарат</x:v>
      </x:c>
      <x:c r="E498" s="6" t="str">
        <x:v>Розничный каталог</x:v>
      </x:c>
      <x:c r="F498" s="6" t="str">
        <x:v>—</x:v>
      </x:c>
      <x:c r="G498" s="6" t="str">
        <x:v>Инструкция Удобрение для томатов 850г - 1 шт. Ленивый Азот 750г - 1 шт. Кальцегарден 1,3кг - 1 шт. Удобрение для пересадки и рассады 200г - 1 шт. Биокорень 20г - 1 шт. Аминорост 12г - 1 шт. Биотонус 18г - 1 шт. Антивершинка 10г - 1шт. Удобрение для томатов - комплексное гранулированное органическое удобрение. Увеличивает количество и размер томатов, делает их сахаристыми, ароматными и сочными Ленивый Азот - органическое… (сокращено)</x:v>
      </x:c>
      <x:c r="H498" s="6" t="str">
        <x:v>Есть сведения; см. ограничения</x:v>
      </x:c>
      <x:c r="I498" s="6" t="str">
        <x:v>См. карточку</x:v>
      </x:c>
      <x:c r="J498" s="12" t="n">
        <x:v>1</x:v>
      </x:c>
      <x:c r="K498" s="6" t="str">
        <x:v>Сравнивать состав набора по отдельным товарам</x:v>
      </x:c>
      <x:c r="L498" s="6"/>
      <x:c r="M498" s="13" t="str">
        <x:v>https://organic-mix.ru/catalog/nabor-dlya-tomatov/</x:v>
      </x:c>
      <x:c r="N498" s="13"/>
    </x:row>
    <x:row r="499" ht="68" customHeight="1">
      <x:c r="A499" s="9" t="str">
        <x:v>P0494</x:v>
      </x:c>
      <x:c r="B499" s="9" t="str">
        <x:v>Органик Микс</x:v>
      </x:c>
      <x:c r="C499" s="9" t="str">
        <x:v>Набор ЯГОДНЫЙ МИКС от Органик Микс</x:v>
      </x:c>
      <x:c r="D499" s="9" t="str">
        <x:v>Набор, не отдельный препарат</x:v>
      </x:c>
      <x:c r="E499" s="9" t="str">
        <x:v>Розничный каталог</x:v>
      </x:c>
      <x:c r="F499" s="9" t="str">
        <x:v>—</x:v>
      </x:c>
      <x:c r="G499" s="9" t="str">
        <x:v>ЭЛИКСИР №1 для клубники 900мл-1шт; Морской коктейль водорастворимый (для клубники) 150г-1шт; Морской коктейль водорастворимый (Универсальный) 150г-1шт.</x:v>
      </x:c>
      <x:c r="H499" s="9" t="str">
        <x:v>Есть сведения; см. ограничения</x:v>
      </x:c>
      <x:c r="I499" s="9" t="str">
        <x:v>См. карточку</x:v>
      </x:c>
      <x:c r="J499" s="10" t="n">
        <x:v>1</x:v>
      </x:c>
      <x:c r="K499" s="9" t="str">
        <x:v>Сравнивать состав набора по отдельным товарам</x:v>
      </x:c>
      <x:c r="L499" s="9"/>
      <x:c r="M499" s="11" t="str">
        <x:v>https://organic-mix.ru/catalog/nabor-yagodnyy-miks-ot-organik-miks-/</x:v>
      </x:c>
      <x:c r="N499" s="11"/>
    </x:row>
    <x:row r="500" ht="68" customHeight="1">
      <x:c r="A500" s="6" t="str">
        <x:v>P0495</x:v>
      </x:c>
      <x:c r="B500" s="6" t="str">
        <x:v>Органик Микс</x:v>
      </x:c>
      <x:c r="C500" s="6" t="str">
        <x:v>ОГУРЦЫ ВЕДРАМИ - Комбо от Органик Микс</x:v>
      </x:c>
      <x:c r="D500" s="6" t="str">
        <x:v>Набор, не отдельный препарат</x:v>
      </x:c>
      <x:c r="E500" s="6" t="str">
        <x:v>Розничный каталог</x:v>
      </x:c>
      <x:c r="F500" s="6" t="str">
        <x:v>—</x:v>
      </x:c>
      <x:c r="G500" s="6" t="str">
        <x:v>Количественный состав в прочитанном тексте не найден; см. карточку</x:v>
      </x:c>
      <x:c r="H500" s="6" t="str">
        <x:v>Описание не прочитано/пустое</x:v>
      </x:c>
      <x:c r="I500" s="6" t="str">
        <x:v>См. карточку</x:v>
      </x:c>
      <x:c r="J500" s="12" t="n">
        <x:v>1</x:v>
      </x:c>
      <x:c r="K500" s="6" t="str">
        <x:v>Сравнивать состав набора по отдельным товарам</x:v>
      </x:c>
      <x:c r="L500" s="6"/>
      <x:c r="M500" s="13" t="str">
        <x:v>https://organic-mix.ru/catalog/ogurtsy-vedrami-kombo-ot-organik-miks/</x:v>
      </x:c>
      <x:c r="N500" s="13"/>
    </x:row>
    <x:row r="501" ht="68" customHeight="1">
      <x:c r="A501" s="9" t="str">
        <x:v>P0496</x:v>
      </x:c>
      <x:c r="B501" s="9" t="str">
        <x:v>Органик Микс</x:v>
      </x:c>
      <x:c r="C501" s="9" t="str">
        <x:v>Осеннее - Комбо от Органик Микс + ПОДАРОК</x:v>
      </x:c>
      <x:c r="D501" s="9" t="str">
        <x:v>Набор, не отдельный препарат</x:v>
      </x:c>
      <x:c r="E501" s="9" t="str">
        <x:v>Розничный каталог</x:v>
      </x:c>
      <x:c r="F501" s="9" t="str">
        <x:v>—</x:v>
      </x:c>
      <x:c r="G501" s="9" t="str">
        <x:v>Удобрение осеннее 2,8 кг - 1 шт; Почвочист 850 г - 1 шт; ПОДАРОК: Кальцегарден 1,3 кг - 1 шт.</x:v>
      </x:c>
      <x:c r="H501" s="9" t="str">
        <x:v>Есть сведения; см. ограничения</x:v>
      </x:c>
      <x:c r="I501" s="9" t="str">
        <x:v>См. карточку</x:v>
      </x:c>
      <x:c r="J501" s="10" t="n">
        <x:v>1</x:v>
      </x:c>
      <x:c r="K501" s="9" t="str">
        <x:v>Сравнивать состав набора по отдельным товарам</x:v>
      </x:c>
      <x:c r="L501" s="9"/>
      <x:c r="M501" s="11" t="str">
        <x:v>https://organic-mix.ru/catalog/osennee-kombo-ot-organik-miks-podarok/</x:v>
      </x:c>
      <x:c r="N501" s="11"/>
    </x:row>
    <x:row r="502" ht="68" customHeight="1">
      <x:c r="A502" s="6" t="str">
        <x:v>P0497</x:v>
      </x:c>
      <x:c r="B502" s="6" t="str">
        <x:v>Органик Микс</x:v>
      </x:c>
      <x:c r="C502" s="6" t="str">
        <x:v>Осеннее для Хвойных - Комбо от Органик Микс (+ ПОДАРОК - АНТИЗИМА )</x:v>
      </x:c>
      <x:c r="D502" s="6" t="str">
        <x:v>Набор, не отдельный препарат</x:v>
      </x:c>
      <x:c r="E502" s="6" t="str">
        <x:v>Розничный каталог</x:v>
      </x:c>
      <x:c r="F502" s="6" t="str">
        <x:v>—</x:v>
      </x:c>
      <x:c r="G502" s="6" t="str">
        <x:v>Осеннее удобрение 850 г - 1 шт; Магний для органического земледелия 350 г - 1 шт; Подарок: Антизима 60 г - 1 шт.</x:v>
      </x:c>
      <x:c r="H502" s="6" t="str">
        <x:v>Есть сведения; см. ограничения</x:v>
      </x:c>
      <x:c r="I502" s="6" t="str">
        <x:v>См. карточку</x:v>
      </x:c>
      <x:c r="J502" s="12" t="n">
        <x:v>1</x:v>
      </x:c>
      <x:c r="K502" s="6" t="str">
        <x:v>Сравнивать состав набора по отдельным товарам</x:v>
      </x:c>
      <x:c r="L502" s="6"/>
      <x:c r="M502" s="13" t="str">
        <x:v>https://organic-mix.ru/catalog/osennee-dlya-khvoynykh-kombo-ot-organik-miks-podarok-antizima-60-gr-/</x:v>
      </x:c>
      <x:c r="N502" s="13"/>
    </x:row>
    <x:row r="503" ht="68" customHeight="1">
      <x:c r="A503" s="9" t="str">
        <x:v>P0498</x:v>
      </x:c>
      <x:c r="B503" s="9" t="str">
        <x:v>Органик Микс</x:v>
      </x:c>
      <x:c r="C503" s="9" t="str">
        <x:v>ОСЕНЬ - Комбо от Органик Микс + ПОДАРОК</x:v>
      </x:c>
      <x:c r="D503" s="9" t="str">
        <x:v>Набор, не отдельный препарат</x:v>
      </x:c>
      <x:c r="E503" s="9" t="str">
        <x:v>Розничный каталог</x:v>
      </x:c>
      <x:c r="F503" s="9" t="str">
        <x:v>—</x:v>
      </x:c>
      <x:c r="G503" s="9" t="str">
        <x:v>Удобрение осеннее 2,8 кг - 1 шт; Эликсир № 1 осенний 900 мл - 1 шт; ПОДАРОК: Антизима 60 г - 1 шт.</x:v>
      </x:c>
      <x:c r="H503" s="9" t="str">
        <x:v>Есть сведения; см. ограничения</x:v>
      </x:c>
      <x:c r="I503" s="9" t="str">
        <x:v>См. карточку</x:v>
      </x:c>
      <x:c r="J503" s="10" t="n">
        <x:v>1</x:v>
      </x:c>
      <x:c r="K503" s="9" t="str">
        <x:v>Сравнивать состав набора по отдельным товарам</x:v>
      </x:c>
      <x:c r="L503" s="9"/>
      <x:c r="M503" s="11" t="str">
        <x:v>https://organic-mix.ru/catalog/osen-kombo-ot-organik-miks-podarok/</x:v>
      </x:c>
      <x:c r="N503" s="11"/>
    </x:row>
    <x:row r="504" ht="68" customHeight="1">
      <x:c r="A504" s="6" t="str">
        <x:v>P0499</x:v>
      </x:c>
      <x:c r="B504" s="6" t="str">
        <x:v>Органик Микс</x:v>
      </x:c>
      <x:c r="C504" s="6" t="str">
        <x:v>Пересадка комнатных растений - Комбо от Органик Микс (+ ПОДАРОК - Эликсир № 1 для Ком.растений 250 )</x:v>
      </x:c>
      <x:c r="D504" s="6" t="str">
        <x:v>Набор, не отдельный препарат</x:v>
      </x:c>
      <x:c r="E504" s="6" t="str">
        <x:v>Розничный каталог</x:v>
      </x:c>
      <x:c r="F504" s="6" t="str">
        <x:v>—</x:v>
      </x:c>
      <x:c r="G504" s="6" t="str">
        <x:v>Удобрение для цветов "Бельгийская серия" 150 г - 1 шт; Разрыхлин 1,2 л - 1 шт ПОДАРОК Эликсир № 1 для комнатных растений 250 мл - 1шт</x:v>
      </x:c>
      <x:c r="H504" s="6" t="str">
        <x:v>Есть сведения; см. ограничения</x:v>
      </x:c>
      <x:c r="I504" s="6" t="str">
        <x:v>Жидкость/концентрат</x:v>
      </x:c>
      <x:c r="J504" s="12" t="n">
        <x:v>1</x:v>
      </x:c>
      <x:c r="K504" s="6" t="str">
        <x:v>Сравнивать состав набора по отдельным товарам</x:v>
      </x:c>
      <x:c r="L504" s="6"/>
      <x:c r="M504" s="13" t="str">
        <x:v>https://organic-mix.ru/catalog/peresadka-komnatnykh-rasteniy-kombo-ot-organik-miks-podarok-eliksir-1-dlya-kom-rasteniy-250-/</x:v>
      </x:c>
      <x:c r="N504" s="13"/>
    </x:row>
    <x:row r="505" ht="68" customHeight="1">
      <x:c r="A505" s="9" t="str">
        <x:v>P0500</x:v>
      </x:c>
      <x:c r="B505" s="9" t="str">
        <x:v>Органик Микс</x:v>
      </x:c>
      <x:c r="C505" s="9" t="str">
        <x:v>Петуньи - Комбо от Органик Микс + ПОДАРОК</x:v>
      </x:c>
      <x:c r="D505" s="9" t="str">
        <x:v>Набор, не отдельный препарат</x:v>
      </x:c>
      <x:c r="E505" s="9" t="str">
        <x:v>Розничный каталог</x:v>
      </x:c>
      <x:c r="F505" s="9" t="str">
        <x:v>—</x:v>
      </x:c>
      <x:c r="G505" s="9" t="str">
        <x:v>Эликсир № 1 для петуний 900 мл - 1 шт; Биотонус 50 г - 1 шт; ПОДАРОК: Аминорост 30 г - 1 шт</x:v>
      </x:c>
      <x:c r="H505" s="9" t="str">
        <x:v>Есть сведения; см. ограничения</x:v>
      </x:c>
      <x:c r="I505" s="9" t="str">
        <x:v>См. карточку</x:v>
      </x:c>
      <x:c r="J505" s="10" t="n">
        <x:v>1</x:v>
      </x:c>
      <x:c r="K505" s="9" t="str">
        <x:v>Сравнивать состав набора по отдельным товарам</x:v>
      </x:c>
      <x:c r="L505" s="9"/>
      <x:c r="M505" s="11" t="str">
        <x:v>https://organic-mix.ru/catalog/petuni-kombo-ot-organik-miks-podarok/</x:v>
      </x:c>
      <x:c r="N505" s="11"/>
    </x:row>
    <x:row r="506" ht="68" customHeight="1">
      <x:c r="A506" s="6" t="str">
        <x:v>P0501</x:v>
      </x:c>
      <x:c r="B506" s="6" t="str">
        <x:v>Органик Микс</x:v>
      </x:c>
      <x:c r="C506" s="6" t="str">
        <x:v>Подготовка к зиме - Комбо</x:v>
      </x:c>
      <x:c r="D506" s="6" t="str">
        <x:v>Набор, не отдельный препарат</x:v>
      </x:c>
      <x:c r="E506" s="6" t="str">
        <x:v>Розничный каталог</x:v>
      </x:c>
      <x:c r="F506" s="6" t="str">
        <x:v>—</x:v>
      </x:c>
      <x:c r="G506" s="6" t="str">
        <x:v>Эликсир № 1 осенний 900 мл - 1 шт Антизима 60 г - 1 шт Осеннее удобрение 850 г - 1 шт</x:v>
      </x:c>
      <x:c r="H506" s="6" t="str">
        <x:v>Есть сведения; см. ограничения</x:v>
      </x:c>
      <x:c r="I506" s="6" t="str">
        <x:v>См. карточку</x:v>
      </x:c>
      <x:c r="J506" s="12" t="n">
        <x:v>1</x:v>
      </x:c>
      <x:c r="K506" s="6" t="str">
        <x:v>Сравнивать состав набора по отдельным товарам</x:v>
      </x:c>
      <x:c r="L506" s="6"/>
      <x:c r="M506" s="13" t="str">
        <x:v>https://organic-mix.ru/catalog/podgotovka-k-zime-kombo-ot-organik-miks-podarok-osenee-850-gr-/</x:v>
      </x:c>
      <x:c r="N506" s="13"/>
    </x:row>
    <x:row r="507" ht="68" customHeight="1">
      <x:c r="A507" s="9" t="str">
        <x:v>P0502</x:v>
      </x:c>
      <x:c r="B507" s="9" t="str">
        <x:v>Органик Микс</x:v>
      </x:c>
      <x:c r="C507" s="9" t="str">
        <x:v>Подкормка комнатных растений - Комбо от Органик Микс (+ ПОДАРОК - БС для цветов в саше)</x:v>
      </x:c>
      <x:c r="D507" s="9" t="str">
        <x:v>Набор, не отдельный препарат</x:v>
      </x:c>
      <x:c r="E507" s="9" t="str">
        <x:v>Розничный каталог</x:v>
      </x:c>
      <x:c r="F507" s="9" t="str">
        <x:v>—</x:v>
      </x:c>
      <x:c r="G507" s="9" t="str">
        <x:v>Эликсир № 1 для комнатных растений 900 мл - 1 шт; Аминорост 30 г - 1 шт; ПОДАРОК Удобрение Бельгийская серия для цветов 25 г - 1 шт;</x:v>
      </x:c>
      <x:c r="H507" s="9" t="str">
        <x:v>Есть сведения; см. ограничения</x:v>
      </x:c>
      <x:c r="I507" s="9" t="str">
        <x:v>См. карточку</x:v>
      </x:c>
      <x:c r="J507" s="10" t="n">
        <x:v>1</x:v>
      </x:c>
      <x:c r="K507" s="9" t="str">
        <x:v>Сравнивать состав набора по отдельным товарам</x:v>
      </x:c>
      <x:c r="L507" s="9"/>
      <x:c r="M507" s="11" t="str">
        <x:v>https://organic-mix.ru/catalog/podkormka-komnatnykh-rasteniy-kombo-ot-organik-miks-podarok-bs-dlya-tsvetov-25-gr-v-sashe/</x:v>
      </x:c>
      <x:c r="N507" s="11"/>
    </x:row>
    <x:row r="508" ht="68" customHeight="1">
      <x:c r="A508" s="6" t="str">
        <x:v>P0503</x:v>
      </x:c>
      <x:c r="B508" s="6" t="str">
        <x:v>Органик Микс</x:v>
      </x:c>
      <x:c r="C508" s="6" t="str">
        <x:v>ПОЧВОЧИСТ Универсал (10 шт.) - Комбо от Органик Микс</x:v>
      </x:c>
      <x:c r="D508" s="6" t="str">
        <x:v>Набор, не отдельный препарат</x:v>
      </x:c>
      <x:c r="E508" s="6" t="str">
        <x:v>Розничный каталог</x:v>
      </x:c>
      <x:c r="F508" s="6" t="str">
        <x:v>—</x:v>
      </x:c>
      <x:c r="G508" s="6" t="str">
        <x:v>Количественный состав в прочитанном тексте не найден; см. карточку</x:v>
      </x:c>
      <x:c r="H508" s="6" t="str">
        <x:v>Описание не прочитано/пустое</x:v>
      </x:c>
      <x:c r="I508" s="6" t="str">
        <x:v>См. карточку</x:v>
      </x:c>
      <x:c r="J508" s="12" t="n">
        <x:v>1</x:v>
      </x:c>
      <x:c r="K508" s="6" t="str">
        <x:v>Сравнивать состав набора по отдельным товарам</x:v>
      </x:c>
      <x:c r="L508" s="6"/>
      <x:c r="M508" s="13" t="str">
        <x:v>https://organic-mix.ru/catalog/pochvochist-universal-10-sht-kombo-ot-organik-miks/</x:v>
      </x:c>
      <x:c r="N508" s="13"/>
    </x:row>
    <x:row r="509" ht="68" customHeight="1">
      <x:c r="A509" s="9" t="str">
        <x:v>P0504</x:v>
      </x:c>
      <x:c r="B509" s="9" t="str">
        <x:v>Органик Микс</x:v>
      </x:c>
      <x:c r="C509" s="9" t="str">
        <x:v>ПОЧВОЧИСТ Универсал (5 шт.) - Комбо от Органик Микс</x:v>
      </x:c>
      <x:c r="D509" s="9" t="str">
        <x:v>Набор, не отдельный препарат</x:v>
      </x:c>
      <x:c r="E509" s="9" t="str">
        <x:v>Розничный каталог</x:v>
      </x:c>
      <x:c r="F509" s="9" t="str">
        <x:v>—</x:v>
      </x:c>
      <x:c r="G509" s="9" t="str">
        <x:v>Количественный состав в прочитанном тексте не найден; см. карточку</x:v>
      </x:c>
      <x:c r="H509" s="9" t="str">
        <x:v>Описание не прочитано/пустое</x:v>
      </x:c>
      <x:c r="I509" s="9" t="str">
        <x:v>См. карточку</x:v>
      </x:c>
      <x:c r="J509" s="10" t="n">
        <x:v>1</x:v>
      </x:c>
      <x:c r="K509" s="9" t="str">
        <x:v>Сравнивать состав набора по отдельным товарам</x:v>
      </x:c>
      <x:c r="L509" s="9"/>
      <x:c r="M509" s="11" t="str">
        <x:v>https://organic-mix.ru/catalog/pochvochist-universal-5-sht-kombo-ot-organik-miks/</x:v>
      </x:c>
      <x:c r="N509" s="11"/>
    </x:row>
    <x:row r="510" ht="68" customHeight="1">
      <x:c r="A510" s="6" t="str">
        <x:v>P0505</x:v>
      </x:c>
      <x:c r="B510" s="6" t="str">
        <x:v>Органик Микс</x:v>
      </x:c>
      <x:c r="C510" s="6" t="str">
        <x:v>ПЫШНАЯ ГОРТЕНЗИЯ - Комбо от Органик Микс</x:v>
      </x:c>
      <x:c r="D510" s="6" t="str">
        <x:v>Набор, не отдельный препарат</x:v>
      </x:c>
      <x:c r="E510" s="6" t="str">
        <x:v>Розничный каталог</x:v>
      </x:c>
      <x:c r="F510" s="6" t="str">
        <x:v>—</x:v>
      </x:c>
      <x:c r="G510" s="6" t="str">
        <x:v>Количественный состав в прочитанном тексте не найден; см. карточку</x:v>
      </x:c>
      <x:c r="H510" s="6" t="str">
        <x:v>Описание не прочитано/пустое</x:v>
      </x:c>
      <x:c r="I510" s="6" t="str">
        <x:v>См. карточку</x:v>
      </x:c>
      <x:c r="J510" s="12" t="n">
        <x:v>1</x:v>
      </x:c>
      <x:c r="K510" s="6" t="str">
        <x:v>Сравнивать состав набора по отдельным товарам</x:v>
      </x:c>
      <x:c r="L510" s="6"/>
      <x:c r="M510" s="13" t="str">
        <x:v>https://organic-mix.ru/catalog/pyshnaya-gortenziya-kombo-ot-organik-miks/</x:v>
      </x:c>
      <x:c r="N510" s="13"/>
    </x:row>
    <x:row r="511" ht="68" customHeight="1">
      <x:c r="A511" s="9" t="str">
        <x:v>P0506</x:v>
      </x:c>
      <x:c r="B511" s="9" t="str">
        <x:v>Органик Микс</x:v>
      </x:c>
      <x:c r="C511" s="9" t="str">
        <x:v>САЖЕНЦЫ - Комбо от Органик Микс (+ ПОДАРОК - АНТИЗИМА )</x:v>
      </x:c>
      <x:c r="D511" s="9" t="str">
        <x:v>Набор, не отдельный препарат</x:v>
      </x:c>
      <x:c r="E511" s="9" t="str">
        <x:v>Розничный каталог</x:v>
      </x:c>
      <x:c r="F511" s="9" t="str">
        <x:v>—</x:v>
      </x:c>
      <x:c r="G511" s="9" t="str">
        <x:v>Удобрение для посадки саженцев 850 г - 1 шт Биокорень 50 г - 1 шт ПОДАРОК: Антизима 60 г - 1 шт</x:v>
      </x:c>
      <x:c r="H511" s="9" t="str">
        <x:v>Есть сведения; см. ограничения</x:v>
      </x:c>
      <x:c r="I511" s="9" t="str">
        <x:v>См. карточку</x:v>
      </x:c>
      <x:c r="J511" s="10" t="n">
        <x:v>1</x:v>
      </x:c>
      <x:c r="K511" s="9" t="str">
        <x:v>Сравнивать состав набора по отдельным товарам</x:v>
      </x:c>
      <x:c r="L511" s="9"/>
      <x:c r="M511" s="11" t="str">
        <x:v>https://organic-mix.ru/catalog/sazhentsy-kombo-ot-organik-miks-podarok-antizima-60-gr-/</x:v>
      </x:c>
      <x:c r="N511" s="11"/>
    </x:row>
    <x:row r="512" ht="68" customHeight="1">
      <x:c r="A512" s="6" t="str">
        <x:v>P0507</x:v>
      </x:c>
      <x:c r="B512" s="6" t="str">
        <x:v>Органик Микс</x:v>
      </x:c>
      <x:c r="C512" s="6" t="str">
        <x:v>СИЛЬНЫЙ КОРЕНЬ (5 шт.) - Комбо от Органик Микс</x:v>
      </x:c>
      <x:c r="D512" s="6" t="str">
        <x:v>Набор, не отдельный препарат</x:v>
      </x:c>
      <x:c r="E512" s="6" t="str">
        <x:v>Розничный каталог</x:v>
      </x:c>
      <x:c r="F512" s="6" t="str">
        <x:v>—</x:v>
      </x:c>
      <x:c r="G512" s="6" t="str">
        <x:v>Количественный состав в прочитанном тексте не найден; см. карточку</x:v>
      </x:c>
      <x:c r="H512" s="6" t="str">
        <x:v>Описание не прочитано/пустое</x:v>
      </x:c>
      <x:c r="I512" s="6" t="str">
        <x:v>См. карточку</x:v>
      </x:c>
      <x:c r="J512" s="12" t="n">
        <x:v>1</x:v>
      </x:c>
      <x:c r="K512" s="6" t="str">
        <x:v>Сравнивать состав набора по отдельным товарам</x:v>
      </x:c>
      <x:c r="L512" s="6"/>
      <x:c r="M512" s="13" t="str">
        <x:v>https://organic-mix.ru/catalog/silnyy-koren-5-sht-kombo-ot-organik-miks/</x:v>
      </x:c>
      <x:c r="N512" s="13"/>
    </x:row>
    <x:row r="513" ht="68" customHeight="1">
      <x:c r="A513" s="9" t="str">
        <x:v>P0508</x:v>
      </x:c>
      <x:c r="B513" s="9" t="str">
        <x:v>Органик Микс</x:v>
      </x:c>
      <x:c r="C513" s="9" t="str">
        <x:v>СИНЯЯ ГОРТЕНЗИЯ - Комбо от Органик Микс</x:v>
      </x:c>
      <x:c r="D513" s="9" t="str">
        <x:v>Набор, не отдельный препарат</x:v>
      </x:c>
      <x:c r="E513" s="9" t="str">
        <x:v>Розничный каталог</x:v>
      </x:c>
      <x:c r="F513" s="9" t="str">
        <x:v>—</x:v>
      </x:c>
      <x:c r="G513" s="9" t="str">
        <x:v>Количественный состав в прочитанном тексте не найден; см. карточку</x:v>
      </x:c>
      <x:c r="H513" s="9" t="str">
        <x:v>Описание не прочитано/пустое</x:v>
      </x:c>
      <x:c r="I513" s="9" t="str">
        <x:v>См. карточку</x:v>
      </x:c>
      <x:c r="J513" s="10" t="n">
        <x:v>1</x:v>
      </x:c>
      <x:c r="K513" s="9" t="str">
        <x:v>Сравнивать состав набора по отдельным товарам</x:v>
      </x:c>
      <x:c r="L513" s="9"/>
      <x:c r="M513" s="11" t="str">
        <x:v>https://organic-mix.ru/catalog/sinyaya-gortenziya-kombo-ot-organik-miks/</x:v>
      </x:c>
      <x:c r="N513" s="11"/>
    </x:row>
    <x:row r="514" ht="68" customHeight="1">
      <x:c r="A514" s="6" t="str">
        <x:v>P0509</x:v>
      </x:c>
      <x:c r="B514" s="6" t="str">
        <x:v>Органик Микс</x:v>
      </x:c>
      <x:c r="C514" s="6" t="str">
        <x:v>СЛАДКАЯ ЯГОДА - Комбо от Органик Микс</x:v>
      </x:c>
      <x:c r="D514" s="6" t="str">
        <x:v>Набор, не отдельный препарат</x:v>
      </x:c>
      <x:c r="E514" s="6" t="str">
        <x:v>Розничный каталог</x:v>
      </x:c>
      <x:c r="F514" s="6" t="str">
        <x:v>—</x:v>
      </x:c>
      <x:c r="G514" s="6" t="str">
        <x:v>Количественный состав в прочитанном тексте не найден; см. карточку</x:v>
      </x:c>
      <x:c r="H514" s="6" t="str">
        <x:v>Описание не прочитано/пустое</x:v>
      </x:c>
      <x:c r="I514" s="6" t="str">
        <x:v>См. карточку</x:v>
      </x:c>
      <x:c r="J514" s="12" t="n">
        <x:v>1</x:v>
      </x:c>
      <x:c r="K514" s="6" t="str">
        <x:v>Сравнивать состав набора по отдельным товарам</x:v>
      </x:c>
      <x:c r="L514" s="6"/>
      <x:c r="M514" s="13" t="str">
        <x:v>https://organic-mix.ru/catalog/sladkaya-yagoda-kombo-ot-organik-miks/</x:v>
      </x:c>
      <x:c r="N514" s="13"/>
    </x:row>
    <x:row r="515" ht="68" customHeight="1">
      <x:c r="A515" s="9" t="str">
        <x:v>P0510</x:v>
      </x:c>
      <x:c r="B515" s="9" t="str">
        <x:v>Органик Микс</x:v>
      </x:c>
      <x:c r="C515" s="9" t="str">
        <x:v>СТОПСЛИЗНЯК (10 шт.) - Комбо от Органик Микс</x:v>
      </x:c>
      <x:c r="D515" s="9" t="str">
        <x:v>Набор, не отдельный препарат</x:v>
      </x:c>
      <x:c r="E515" s="9" t="str">
        <x:v>Розничный каталог</x:v>
      </x:c>
      <x:c r="F515" s="9" t="str">
        <x:v>—</x:v>
      </x:c>
      <x:c r="G515" s="9" t="str">
        <x:v>Количественный состав в прочитанном тексте не найден; см. карточку</x:v>
      </x:c>
      <x:c r="H515" s="9" t="str">
        <x:v>Описание не прочитано/пустое</x:v>
      </x:c>
      <x:c r="I515" s="9" t="str">
        <x:v>См. карточку</x:v>
      </x:c>
      <x:c r="J515" s="10" t="n">
        <x:v>1</x:v>
      </x:c>
      <x:c r="K515" s="9" t="str">
        <x:v>Сравнивать состав набора по отдельным товарам</x:v>
      </x:c>
      <x:c r="L515" s="9"/>
      <x:c r="M515" s="11" t="str">
        <x:v>https://organic-mix.ru/catalog/stopsliznyak-10-sht-kombo-ot-organik-miks/</x:v>
      </x:c>
      <x:c r="N515" s="11"/>
    </x:row>
    <x:row r="516" ht="68" customHeight="1">
      <x:c r="A516" s="6" t="str">
        <x:v>P0511</x:v>
      </x:c>
      <x:c r="B516" s="6" t="str">
        <x:v>Органик Микс</x:v>
      </x:c>
      <x:c r="C516" s="6" t="str">
        <x:v>СТОПСЛИЗНЯК (5 шт.) - Комбо от Органик Микс</x:v>
      </x:c>
      <x:c r="D516" s="6" t="str">
        <x:v>Набор, не отдельный препарат</x:v>
      </x:c>
      <x:c r="E516" s="6" t="str">
        <x:v>Розничный каталог</x:v>
      </x:c>
      <x:c r="F516" s="6" t="str">
        <x:v>—</x:v>
      </x:c>
      <x:c r="G516" s="6" t="str">
        <x:v>Количественный состав в прочитанном тексте не найден; см. карточку</x:v>
      </x:c>
      <x:c r="H516" s="6" t="str">
        <x:v>Описание не прочитано/пустое</x:v>
      </x:c>
      <x:c r="I516" s="6" t="str">
        <x:v>См. карточку</x:v>
      </x:c>
      <x:c r="J516" s="12" t="n">
        <x:v>1</x:v>
      </x:c>
      <x:c r="K516" s="6" t="str">
        <x:v>Сравнивать состав набора по отдельным товарам</x:v>
      </x:c>
      <x:c r="L516" s="6"/>
      <x:c r="M516" s="13" t="str">
        <x:v>https://organic-mix.ru/catalog/stopsliznyak-5-sht-kombo-ot-organik-miks/</x:v>
      </x:c>
      <x:c r="N516" s="13"/>
    </x:row>
    <x:row r="517" ht="68" customHeight="1">
      <x:c r="A517" s="9" t="str">
        <x:v>P0512</x:v>
      </x:c>
      <x:c r="B517" s="9" t="str">
        <x:v>Органик Микс</x:v>
      </x:c>
      <x:c r="C517" s="9" t="str">
        <x:v>СТОПТЛИН (10 шт.) - Комбо от Органик Микс</x:v>
      </x:c>
      <x:c r="D517" s="9" t="str">
        <x:v>Набор, не отдельный препарат</x:v>
      </x:c>
      <x:c r="E517" s="9" t="str">
        <x:v>Розничный каталог</x:v>
      </x:c>
      <x:c r="F517" s="9" t="str">
        <x:v>—</x:v>
      </x:c>
      <x:c r="G517" s="9" t="str">
        <x:v>Количественный состав в прочитанном тексте не найден; см. карточку</x:v>
      </x:c>
      <x:c r="H517" s="9" t="str">
        <x:v>Описание не прочитано/пустое</x:v>
      </x:c>
      <x:c r="I517" s="9" t="str">
        <x:v>См. карточку</x:v>
      </x:c>
      <x:c r="J517" s="10" t="n">
        <x:v>1</x:v>
      </x:c>
      <x:c r="K517" s="9" t="str">
        <x:v>Сравнивать состав набора по отдельным товарам</x:v>
      </x:c>
      <x:c r="L517" s="9"/>
      <x:c r="M517" s="11" t="str">
        <x:v>https://organic-mix.ru/catalog/stoptlin-10-sht-kombo-ot-organik-miks/</x:v>
      </x:c>
      <x:c r="N517" s="11"/>
    </x:row>
    <x:row r="518" ht="68" customHeight="1">
      <x:c r="A518" s="6" t="str">
        <x:v>P0513</x:v>
      </x:c>
      <x:c r="B518" s="6" t="str">
        <x:v>Органик Микс</x:v>
      </x:c>
      <x:c r="C518" s="6" t="str">
        <x:v>СТОПТЛИН (5 шт.) - Комбо от Органик Микс</x:v>
      </x:c>
      <x:c r="D518" s="6" t="str">
        <x:v>Набор, не отдельный препарат</x:v>
      </x:c>
      <x:c r="E518" s="6" t="str">
        <x:v>Розничный каталог</x:v>
      </x:c>
      <x:c r="F518" s="6" t="str">
        <x:v>—</x:v>
      </x:c>
      <x:c r="G518" s="6" t="str">
        <x:v>Количественный состав в прочитанном тексте не найден; см. карточку</x:v>
      </x:c>
      <x:c r="H518" s="6" t="str">
        <x:v>Описание не прочитано/пустое</x:v>
      </x:c>
      <x:c r="I518" s="6" t="str">
        <x:v>См. карточку</x:v>
      </x:c>
      <x:c r="J518" s="12" t="n">
        <x:v>1</x:v>
      </x:c>
      <x:c r="K518" s="6" t="str">
        <x:v>Сравнивать состав набора по отдельным товарам</x:v>
      </x:c>
      <x:c r="L518" s="6"/>
      <x:c r="M518" s="13" t="str">
        <x:v>https://organic-mix.ru/catalog/stoptlin-5-sht-kombo-ot-organik-miks/</x:v>
      </x:c>
      <x:c r="N518" s="13"/>
    </x:row>
    <x:row r="519" ht="68" customHeight="1">
      <x:c r="A519" s="9" t="str">
        <x:v>P0514</x:v>
      </x:c>
      <x:c r="B519" s="9" t="str">
        <x:v>Органик Микс</x:v>
      </x:c>
      <x:c r="C519" s="9" t="str">
        <x:v>СТРУКТУРИН для глинистых почв</x:v>
      </x:c>
      <x:c r="D519" s="9" t="str">
        <x:v>Хозяйственное средство</x:v>
      </x:c>
      <x:c r="E519" s="9" t="str">
        <x:v>Розничный каталог</x:v>
      </x:c>
      <x:c r="F519" s="9" t="str">
        <x:v>G36</x:v>
      </x:c>
      <x:c r="G519" s="9" t="str">
        <x:v>100% натуральные минералы природного происхождения</x:v>
      </x:c>
      <x:c r="H519" s="9" t="str">
        <x:v>Есть сведения; см. ограничения</x:v>
      </x:c>
      <x:c r="I519" s="9" t="str">
        <x:v>См. карточку</x:v>
      </x:c>
      <x:c r="J519" s="10" t="n">
        <x:v>4</x:v>
      </x:c>
      <x:c r="K519" s="9" t="str">
        <x:v>См. коды и ограничения на листе «Сопоставления»</x:v>
      </x:c>
      <x:c r="L519" s="9"/>
      <x:c r="M519" s="11" t="str">
        <x:v>https://organic-mix.ru/catalog/strukturin/</x:v>
      </x:c>
      <x:c r="N519" s="11"/>
    </x:row>
    <x:row r="520" ht="68" customHeight="1">
      <x:c r="A520" s="6" t="str">
        <x:v>P0515</x:v>
      </x:c>
      <x:c r="B520" s="6" t="str">
        <x:v>Органик Микс</x:v>
      </x:c>
      <x:c r="C520" s="6" t="str">
        <x:v>Термометр для измерения температуры в компосте и почве</x:v>
      </x:c>
      <x:c r="D520" s="6" t="str">
        <x:v>Инвентарь, книги, семена, ловушки</x:v>
      </x:c>
      <x:c r="E520" s="6" t="str">
        <x:v>Розничный каталог</x:v>
      </x:c>
      <x:c r="F520" s="6" t="str">
        <x:v>—</x:v>
      </x:c>
      <x:c r="G520" s="6" t="str">
        <x:v>Не сравнивается как препарат</x:v>
      </x:c>
      <x:c r="H520" s="6" t="str">
        <x:v>Полного состава нет в тексте</x:v>
      </x:c>
      <x:c r="I520" s="6" t="str">
        <x:v>См. карточку</x:v>
      </x:c>
      <x:c r="J520" s="12" t="n">
        <x:v>1</x:v>
      </x:c>
      <x:c r="K520" s="6" t="str">
        <x:v>Не препарат</x:v>
      </x:c>
      <x:c r="L520" s="6"/>
      <x:c r="M520" s="13" t="str">
        <x:v>https://organic-mix.ru/catalog/termometr-dlya-pochvy/</x:v>
      </x:c>
      <x:c r="N520" s="13"/>
    </x:row>
    <x:row r="521" ht="68" customHeight="1">
      <x:c r="A521" s="9" t="str">
        <x:v>P0516</x:v>
      </x:c>
      <x:c r="B521" s="9" t="str">
        <x:v>Органик Микс</x:v>
      </x:c>
      <x:c r="C521" s="9" t="str">
        <x:v>Технологический Календарь - Ежедневник САДОВОДА на 2025 г. от Органик Микс</x:v>
      </x:c>
      <x:c r="D521" s="9" t="str">
        <x:v>Инвентарь, книги, семена, ловушки</x:v>
      </x:c>
      <x:c r="E521" s="9" t="str">
        <x:v>Розничный каталог</x:v>
      </x:c>
      <x:c r="F521" s="9" t="str">
        <x:v>—</x:v>
      </x:c>
      <x:c r="G521" s="9" t="str">
        <x:v>Не сравнивается как препарат</x:v>
      </x:c>
      <x:c r="H521" s="9" t="str">
        <x:v>Полного состава нет в тексте</x:v>
      </x:c>
      <x:c r="I521" s="9" t="str">
        <x:v>См. карточку</x:v>
      </x:c>
      <x:c r="J521" s="10" t="n">
        <x:v>1</x:v>
      </x:c>
      <x:c r="K521" s="9" t="str">
        <x:v>Не препарат</x:v>
      </x:c>
      <x:c r="L521" s="9"/>
      <x:c r="M521" s="11" t="str">
        <x:v>https://organic-mix.ru/catalog/tekhnologicheskiy-kalendar-ezhednevnik-sadovoda-na-2025-g-ot-organik-miks/</x:v>
      </x:c>
      <x:c r="N521" s="11"/>
    </x:row>
    <x:row r="522" ht="68" customHeight="1">
      <x:c r="A522" s="6" t="str">
        <x:v>P0517</x:v>
      </x:c>
      <x:c r="B522" s="6" t="str">
        <x:v>Органик Микс</x:v>
      </x:c>
      <x:c r="C522" s="6" t="str">
        <x:v>ТЛИНИН (10 шт.) - Комбо от Органик Микс</x:v>
      </x:c>
      <x:c r="D522" s="6" t="str">
        <x:v>Набор, не отдельный препарат</x:v>
      </x:c>
      <x:c r="E522" s="6" t="str">
        <x:v>Розничный каталог</x:v>
      </x:c>
      <x:c r="F522" s="6" t="str">
        <x:v>—</x:v>
      </x:c>
      <x:c r="G522" s="6" t="str">
        <x:v>Количественный состав в прочитанном тексте не найден; см. карточку</x:v>
      </x:c>
      <x:c r="H522" s="6" t="str">
        <x:v>Описание не прочитано/пустое</x:v>
      </x:c>
      <x:c r="I522" s="6" t="str">
        <x:v>См. карточку</x:v>
      </x:c>
      <x:c r="J522" s="12" t="n">
        <x:v>1</x:v>
      </x:c>
      <x:c r="K522" s="6" t="str">
        <x:v>Сравнивать состав набора по отдельным товарам</x:v>
      </x:c>
      <x:c r="L522" s="6"/>
      <x:c r="M522" s="13" t="str">
        <x:v>https://organic-mix.ru/catalog/tlinin-10-sht-kombo-ot-organik-miks/</x:v>
      </x:c>
      <x:c r="N522" s="13"/>
    </x:row>
    <x:row r="523" ht="68" customHeight="1">
      <x:c r="A523" s="9" t="str">
        <x:v>P0518</x:v>
      </x:c>
      <x:c r="B523" s="9" t="str">
        <x:v>Органик Микс</x:v>
      </x:c>
      <x:c r="C523" s="9" t="str">
        <x:v>ТЛИНИН (5 шт.) - Комбо от Органик Микс</x:v>
      </x:c>
      <x:c r="D523" s="9" t="str">
        <x:v>Набор, не отдельный препарат</x:v>
      </x:c>
      <x:c r="E523" s="9" t="str">
        <x:v>Розничный каталог</x:v>
      </x:c>
      <x:c r="F523" s="9" t="str">
        <x:v>—</x:v>
      </x:c>
      <x:c r="G523" s="9" t="str">
        <x:v>Количественный состав в прочитанном тексте не найден; см. карточку</x:v>
      </x:c>
      <x:c r="H523" s="9" t="str">
        <x:v>Описание не прочитано/пустое</x:v>
      </x:c>
      <x:c r="I523" s="9" t="str">
        <x:v>См. карточку</x:v>
      </x:c>
      <x:c r="J523" s="10" t="n">
        <x:v>1</x:v>
      </x:c>
      <x:c r="K523" s="9" t="str">
        <x:v>Сравнивать состав набора по отдельным товарам</x:v>
      </x:c>
      <x:c r="L523" s="9"/>
      <x:c r="M523" s="11" t="str">
        <x:v>https://organic-mix.ru/catalog/tlinin-5-sht-kombo-ot-organik-miks/</x:v>
      </x:c>
      <x:c r="N523" s="11"/>
    </x:row>
    <x:row r="524" ht="68" customHeight="1">
      <x:c r="A524" s="6" t="str">
        <x:v>P0519</x:v>
      </x:c>
      <x:c r="B524" s="6" t="str">
        <x:v>Органик Микс</x:v>
      </x:c>
      <x:c r="C524" s="6" t="str">
        <x:v>ТОМАТНЫЙ БУМ - Комбо от Органик Микс</x:v>
      </x:c>
      <x:c r="D524" s="6" t="str">
        <x:v>Набор, не отдельный препарат</x:v>
      </x:c>
      <x:c r="E524" s="6" t="str">
        <x:v>Розничный каталог</x:v>
      </x:c>
      <x:c r="F524" s="6" t="str">
        <x:v>—</x:v>
      </x:c>
      <x:c r="G524" s="6" t="str">
        <x:v>Количественный состав в прочитанном тексте не найден; см. карточку</x:v>
      </x:c>
      <x:c r="H524" s="6" t="str">
        <x:v>Описание не прочитано/пустое</x:v>
      </x:c>
      <x:c r="I524" s="6" t="str">
        <x:v>См. карточку</x:v>
      </x:c>
      <x:c r="J524" s="12" t="n">
        <x:v>1</x:v>
      </x:c>
      <x:c r="K524" s="6" t="str">
        <x:v>Сравнивать состав набора по отдельным товарам</x:v>
      </x:c>
      <x:c r="L524" s="6"/>
      <x:c r="M524" s="13" t="str">
        <x:v>https://organic-mix.ru/catalog/tomatnyy-bum-kombo-ot-organik-miks/</x:v>
      </x:c>
      <x:c r="N524" s="13"/>
    </x:row>
    <x:row r="525" ht="68" customHeight="1">
      <x:c r="A525" s="9" t="str">
        <x:v>P0520</x:v>
      </x:c>
      <x:c r="B525" s="9" t="str">
        <x:v>Органик Микс</x:v>
      </x:c>
      <x:c r="C525" s="9" t="str">
        <x:v>ТОМАТНЫЙ МЕГА БУМ - Комбо от Органик Микс</x:v>
      </x:c>
      <x:c r="D525" s="9" t="str">
        <x:v>Набор, не отдельный препарат</x:v>
      </x:c>
      <x:c r="E525" s="9" t="str">
        <x:v>Розничный каталог</x:v>
      </x:c>
      <x:c r="F525" s="9" t="str">
        <x:v>—</x:v>
      </x:c>
      <x:c r="G525" s="9" t="str">
        <x:v>Количественный состав в прочитанном тексте не найден; см. карточку</x:v>
      </x:c>
      <x:c r="H525" s="9" t="str">
        <x:v>Описание не прочитано/пустое</x:v>
      </x:c>
      <x:c r="I525" s="9" t="str">
        <x:v>См. карточку</x:v>
      </x:c>
      <x:c r="J525" s="10" t="n">
        <x:v>1</x:v>
      </x:c>
      <x:c r="K525" s="9" t="str">
        <x:v>Сравнивать состав набора по отдельным товарам</x:v>
      </x:c>
      <x:c r="L525" s="9"/>
      <x:c r="M525" s="11" t="str">
        <x:v>https://organic-mix.ru/catalog/tomatnyy-mega-bum-kombo-ot-organik-miks/</x:v>
      </x:c>
      <x:c r="N525" s="11"/>
    </x:row>
    <x:row r="526" ht="68" customHeight="1">
      <x:c r="A526" s="6" t="str">
        <x:v>P0521</x:v>
      </x:c>
      <x:c r="B526" s="6" t="str">
        <x:v>Органик Микс</x:v>
      </x:c>
      <x:c r="C526" s="6" t="str">
        <x:v>ТОМАТЫ БЕЗ ГНИЛИ (5 шт.) - Комбо от Органик Микс</x:v>
      </x:c>
      <x:c r="D526" s="6" t="str">
        <x:v>Набор, не отдельный препарат</x:v>
      </x:c>
      <x:c r="E526" s="6" t="str">
        <x:v>Розничный каталог</x:v>
      </x:c>
      <x:c r="F526" s="6" t="str">
        <x:v>—</x:v>
      </x:c>
      <x:c r="G526" s="6" t="str">
        <x:v>Количественный состав в прочитанном тексте не найден; см. карточку</x:v>
      </x:c>
      <x:c r="H526" s="6" t="str">
        <x:v>Описание не прочитано/пустое</x:v>
      </x:c>
      <x:c r="I526" s="6" t="str">
        <x:v>См. карточку</x:v>
      </x:c>
      <x:c r="J526" s="12" t="n">
        <x:v>1</x:v>
      </x:c>
      <x:c r="K526" s="6" t="str">
        <x:v>Сравнивать состав набора по отдельным товарам</x:v>
      </x:c>
      <x:c r="L526" s="6"/>
      <x:c r="M526" s="13" t="str">
        <x:v>https://organic-mix.ru/catalog/tomaty-bez-gnili-5-sht-kombo-ot-organik-miks/</x:v>
      </x:c>
      <x:c r="N526" s="13"/>
    </x:row>
    <x:row r="527" ht="68" customHeight="1">
      <x:c r="A527" s="9" t="str">
        <x:v>P0522</x:v>
      </x:c>
      <x:c r="B527" s="9" t="str">
        <x:v>Органик Микс</x:v>
      </x:c>
      <x:c r="C527" s="9" t="str">
        <x:v>Ускоритель созревания - Комбо</x:v>
      </x:c>
      <x:c r="D527" s="9" t="str">
        <x:v>Набор, не отдельный препарат</x:v>
      </x:c>
      <x:c r="E527" s="9" t="str">
        <x:v>Розничный каталог</x:v>
      </x:c>
      <x:c r="F527" s="9" t="str">
        <x:v>—</x:v>
      </x:c>
      <x:c r="G527" s="9" t="str">
        <x:v>Морской коктейль Ускоритель созревания 150 г - 1 шт Осеннее удобрение 850 г - 1 шт Антизима 60 г - 1 шт</x:v>
      </x:c>
      <x:c r="H527" s="9" t="str">
        <x:v>Есть сведения; см. ограничения</x:v>
      </x:c>
      <x:c r="I527" s="9" t="str">
        <x:v>См. карточку</x:v>
      </x:c>
      <x:c r="J527" s="10" t="n">
        <x:v>1</x:v>
      </x:c>
      <x:c r="K527" s="9" t="str">
        <x:v>Сравнивать состав набора по отдельным товарам</x:v>
      </x:c>
      <x:c r="L527" s="9"/>
      <x:c r="M527" s="11" t="str">
        <x:v>https://organic-mix.ru/catalog/uskoritel-sozrevaniya-kombo-ot-organik-miks-/</x:v>
      </x:c>
      <x:c r="N527" s="11"/>
    </x:row>
    <x:row r="528" ht="68" customHeight="1">
      <x:c r="A528" s="6" t="str">
        <x:v>P0523</x:v>
      </x:c>
      <x:c r="B528" s="6" t="str">
        <x:v>Органик Микс</x:v>
      </x:c>
      <x:c r="C528" s="6" t="str">
        <x:v>ЯГОДНЫЙ БУМ - Комбо от Органик Микс</x:v>
      </x:c>
      <x:c r="D528" s="6" t="str">
        <x:v>Набор, не отдельный препарат</x:v>
      </x:c>
      <x:c r="E528" s="6" t="str">
        <x:v>Розничный каталог</x:v>
      </x:c>
      <x:c r="F528" s="6" t="str">
        <x:v>—</x:v>
      </x:c>
      <x:c r="G528" s="6" t="str">
        <x:v>Количественный состав в прочитанном тексте не найден; см. карточку</x:v>
      </x:c>
      <x:c r="H528" s="6" t="str">
        <x:v>Описание не прочитано/пустое</x:v>
      </x:c>
      <x:c r="I528" s="6" t="str">
        <x:v>См. карточку</x:v>
      </x:c>
      <x:c r="J528" s="12" t="n">
        <x:v>1</x:v>
      </x:c>
      <x:c r="K528" s="6" t="str">
        <x:v>Сравнивать состав набора по отдельным товарам</x:v>
      </x:c>
      <x:c r="L528" s="6"/>
      <x:c r="M528" s="13" t="str">
        <x:v>https://organic-mix.ru/catalog/yagodnyy-bum-kombo-ot-organik-miks/</x:v>
      </x:c>
      <x:c r="N528" s="13"/>
    </x:row>
    <x:row r="529" ht="68" customHeight="1">
      <x:c r="A529" s="9" t="str">
        <x:v>P0524</x:v>
      </x:c>
      <x:c r="B529" s="9" t="str">
        <x:v>Органик Микс</x:v>
      </x:c>
      <x:c r="C529" s="9" t="str">
        <x:v>ЯЙЦЕХРУСТ Универсал (10 шт.) - Комбо от Органик Микс</x:v>
      </x:c>
      <x:c r="D529" s="9" t="str">
        <x:v>Набор, не отдельный препарат</x:v>
      </x:c>
      <x:c r="E529" s="9" t="str">
        <x:v>Розничный каталог</x:v>
      </x:c>
      <x:c r="F529" s="9" t="str">
        <x:v>—</x:v>
      </x:c>
      <x:c r="G529" s="9" t="str">
        <x:v>Количественный состав в прочитанном тексте не найден; см. карточку</x:v>
      </x:c>
      <x:c r="H529" s="9" t="str">
        <x:v>Описание не прочитано/пустое</x:v>
      </x:c>
      <x:c r="I529" s="9" t="str">
        <x:v>См. карточку</x:v>
      </x:c>
      <x:c r="J529" s="10" t="n">
        <x:v>1</x:v>
      </x:c>
      <x:c r="K529" s="9" t="str">
        <x:v>Сравнивать состав набора по отдельным товарам</x:v>
      </x:c>
      <x:c r="L529" s="9"/>
      <x:c r="M529" s="11" t="str">
        <x:v>https://organic-mix.ru/catalog/yaytsekhrust-universal-10-sht-kombo-ot-organik-miks/</x:v>
      </x:c>
      <x:c r="N529" s="11"/>
    </x:row>
    <x:row r="530" ht="68" customHeight="1">
      <x:c r="A530" s="6" t="str">
        <x:v>P0525</x:v>
      </x:c>
      <x:c r="B530" s="6" t="str">
        <x:v>Органик Микс</x:v>
      </x:c>
      <x:c r="C530" s="6" t="str">
        <x:v>ЯЙЦЕХРУСТ Универсал (5 шт.) - Комбо от Органик Микс</x:v>
      </x:c>
      <x:c r="D530" s="6" t="str">
        <x:v>Набор, не отдельный препарат</x:v>
      </x:c>
      <x:c r="E530" s="6" t="str">
        <x:v>Розничный каталог</x:v>
      </x:c>
      <x:c r="F530" s="6" t="str">
        <x:v>—</x:v>
      </x:c>
      <x:c r="G530" s="6" t="str">
        <x:v>Количественный состав в прочитанном тексте не найден; см. карточку</x:v>
      </x:c>
      <x:c r="H530" s="6" t="str">
        <x:v>Описание не прочитано/пустое</x:v>
      </x:c>
      <x:c r="I530" s="6" t="str">
        <x:v>См. карточку</x:v>
      </x:c>
      <x:c r="J530" s="12" t="n">
        <x:v>1</x:v>
      </x:c>
      <x:c r="K530" s="6" t="str">
        <x:v>Сравнивать состав набора по отдельным товарам</x:v>
      </x:c>
      <x:c r="L530" s="6"/>
      <x:c r="M530" s="13" t="str">
        <x:v>https://organic-mix.ru/catalog/yaytsekhrust-universal-5-sht-kombo-ot-organik-miks/</x:v>
      </x:c>
      <x:c r="N530" s="13"/>
    </x:row>
    <x:row r="531" ht="68" customHeight="1">
      <x:c r="A531" s="9" t="str">
        <x:v>P0526</x:v>
      </x:c>
      <x:c r="B531" s="9" t="str">
        <x:v>Органик Микс</x:v>
      </x:c>
      <x:c r="C531" s="9" t="str">
        <x:v>Ящик деревянный Органик Микс 46х30х25</x:v>
      </x:c>
      <x:c r="D531" s="9" t="str">
        <x:v>Инвентарь, книги, семена, ловушки</x:v>
      </x:c>
      <x:c r="E531" s="9" t="str">
        <x:v>Розничный каталог</x:v>
      </x:c>
      <x:c r="F531" s="9" t="str">
        <x:v>—</x:v>
      </x:c>
      <x:c r="G531" s="9" t="str">
        <x:v>Не сравнивается как препарат</x:v>
      </x:c>
      <x:c r="H531" s="9" t="str">
        <x:v>Полного состава нет в тексте</x:v>
      </x:c>
      <x:c r="I531" s="9" t="str">
        <x:v>См. карточку</x:v>
      </x:c>
      <x:c r="J531" s="10" t="n">
        <x:v>1</x:v>
      </x:c>
      <x:c r="K531" s="9" t="str">
        <x:v>Не препарат</x:v>
      </x:c>
      <x:c r="L531" s="9"/>
      <x:c r="M531" s="11" t="str">
        <x:v>https://organic-mix.ru/catalog/yashchik-derevyannyy-organik-miks-46kh30kh25/</x:v>
      </x:c>
      <x:c r="N531" s="11"/>
    </x:row>
    <x:row r="532" ht="68" customHeight="1">
      <x:c r="A532" s="6" t="str">
        <x:v>P0527</x:v>
      </x:c>
      <x:c r="B532" s="6" t="str">
        <x:v>БашИнком</x:v>
      </x:c>
      <x:c r="C532" s="6" t="str">
        <x:v>33 Богатыря почвооздоравливающий микробиологический препарат</x:v>
      </x:c>
      <x:c r="D532" s="6" t="str">
        <x:v>Средство для растений/почвы</x:v>
      </x:c>
      <x:c r="E532" s="6" t="str">
        <x:v>Розничный каталог</x:v>
      </x:c>
      <x:c r="F532" s="6" t="str">
        <x:v>G13</x:v>
      </x:c>
      <x:c r="G532" s="6" t="str">
        <x:v>Органический и минеральный носитель, полезные почвенные микроорганизмы в споровой форме.</x:v>
      </x:c>
      <x:c r="H532" s="6" t="str">
        <x:v>Есть сведения; см. ограничения</x:v>
      </x:c>
      <x:c r="I532" s="6" t="str">
        <x:v>Сухая смесь</x:v>
      </x:c>
      <x:c r="J532" s="12" t="n">
        <x:v>2</x:v>
      </x:c>
      <x:c r="K532" s="6" t="str">
        <x:v>См. коды и ограничения на листе «Сопоставления»</x:v>
      </x:c>
      <x:c r="L532" s="6"/>
      <x:c r="M532" s="13" t="str">
        <x:v>https://www.bashinkom.ru/products/ojz/Pochvoozdoravlivayushchiymikrobiologicheskiypreparat33Bogatyrya1l</x:v>
      </x:c>
      <x:c r="N532" s="13"/>
    </x:row>
    <x:row r="533" ht="124" customHeight="1">
      <x:c r="A533" s="9" t="str">
        <x:v>P0528</x:v>
      </x:c>
      <x:c r="B533" s="9" t="str">
        <x:v>БашИнком</x:v>
      </x:c>
      <x:c r="C533" s="9" t="str">
        <x:v>33 Богатыря почвооздоравливающий микробиологический препарат</x:v>
      </x:c>
      <x:c r="D533" s="9" t="str">
        <x:v>Средство для растений/почвы</x:v>
      </x:c>
      <x:c r="E533" s="9" t="str">
        <x:v>Розничный каталог</x:v>
      </x:c>
      <x:c r="F533" s="9" t="str">
        <x:v>G13</x:v>
      </x:c>
      <x:c r="G533" s="9" t="str">
        <x:v>Спорообразующие бактерии Bacillus subtilis, Bacillus licheniformis, Bacillus thuringiensis; фосфатмобилизирующие бактерии Bacillus megaterium, Bacillus mucilaginosis; азотфиксирующие бактерии Azotobacter chroococcum; грибы Trichoderma; молочнокислые бактерии Lactobacillus plantarum, Lactobacillus acidophilus; грибы-сахаромицеты (дрожжи) Pichia deserticola; гуминовые вещества; органический носитель.</x:v>
      </x:c>
      <x:c r="H533" s="9" t="str">
        <x:v>Есть сведения; см. ограничения</x:v>
      </x:c>
      <x:c r="I533" s="9" t="str">
        <x:v>Гранулы</x:v>
      </x:c>
      <x:c r="J533" s="10" t="n">
        <x:v>1</x:v>
      </x:c>
      <x:c r="K533" s="9" t="str">
        <x:v>См. коды и ограничения на листе «Сопоставления»</x:v>
      </x:c>
      <x:c r="L533" s="9"/>
      <x:c r="M533" s="11" t="str">
        <x:v>https://www.bashinkom.ru/products/ojz/Pochvoozdoravlivayushchiymikrobiologicheskiypreparat33Bogatyryagranulirovannyy08kg</x:v>
      </x:c>
      <x:c r="N533" s="11"/>
    </x:row>
    <x:row r="534" ht="68" customHeight="1">
      <x:c r="A534" s="6" t="str">
        <x:v>P0529</x:v>
      </x:c>
      <x:c r="B534" s="6" t="str">
        <x:v>БашИнком</x:v>
      </x:c>
      <x:c r="C534" s="6" t="str">
        <x:v>Амблисейус кукумерис (Amblyseius cucumeris)</x:v>
      </x:c>
      <x:c r="D534" s="6" t="str">
        <x:v>Средство для растений/почвы</x:v>
      </x:c>
      <x:c r="E534" s="6" t="str">
        <x:v>Розничный каталог</x:v>
      </x:c>
      <x:c r="F534" s="6" t="str">
        <x:v>—</x:v>
      </x:c>
      <x:c r="G534" s="6" t="str">
        <x:v>субстрат, в котором находятся взрослые особи, нимфы 1-го и 2-го возраста хищного клеща Амблисейус кукумерис. Размеры от 0,4 до 0,6 мм, окраска тела от бежевой до светло-коричневой.</x:v>
      </x:c>
      <x:c r="H534" s="6" t="str">
        <x:v>Есть сведения; см. ограничения</x:v>
      </x:c>
      <x:c r="I534" s="6" t="str">
        <x:v>сухой субстрат</x:v>
      </x:c>
      <x:c r="J534" s="12" t="n">
        <x:v>1</x:v>
      </x:c>
      <x:c r="K534" s="6" t="str">
        <x:v>Близкий аналог не подтвержден</x:v>
      </x:c>
      <x:c r="L534" s="6"/>
      <x:c r="M534" s="13" t="str">
        <x:v>https://www.bashinkom.ru/products/ojz/AmbliseyuskukumerisAmblyseiuscucumeris</x:v>
      </x:c>
      <x:c r="N534" s="13"/>
    </x:row>
    <x:row r="535" ht="68" customHeight="1">
      <x:c r="A535" s="9" t="str">
        <x:v>P0530</x:v>
      </x:c>
      <x:c r="B535" s="9" t="str">
        <x:v>БашИнком</x:v>
      </x:c>
      <x:c r="C535" s="9" t="str">
        <x:v>Амблисейус кукумерис (Amblyseius cucumeris)</x:v>
      </x:c>
      <x:c r="D535" s="9" t="str">
        <x:v>Средство для растений/почвы</x:v>
      </x:c>
      <x:c r="E535" s="9" t="str">
        <x:v>Профессиональная линия</x:v>
      </x:c>
      <x:c r="F535" s="9" t="str">
        <x:v>—</x:v>
      </x:c>
      <x:c r="G535" s="9" t="str">
        <x:v>субстрат, в котором находятся взрослые особи, нимфы 1-го и 2-го возраста хищного клеща Амблисейус кукумерис. Размеры от 0,4 до 0,6 мм, окраска тела от бежевой до светло-коричневой.</x:v>
      </x:c>
      <x:c r="H535" s="9" t="str">
        <x:v>Есть сведения; см. ограничения</x:v>
      </x:c>
      <x:c r="I535" s="9" t="str">
        <x:v>сухой субстрат</x:v>
      </x:c>
      <x:c r="J535" s="10" t="n">
        <x:v>1</x:v>
      </x:c>
      <x:c r="K535" s="9" t="str">
        <x:v>Близкий аналог не подтвержден</x:v>
      </x:c>
      <x:c r="L535" s="9"/>
      <x:c r="M535" s="11" t="str">
        <x:v>https://www.bashinkom.ru/products/avz/Entomofagzakrytogoiotkrytogogrunta</x:v>
      </x:c>
      <x:c r="N535" s="11"/>
    </x:row>
    <x:row r="536" ht="68" customHeight="1">
      <x:c r="A536" s="6" t="str">
        <x:v>P0531</x:v>
      </x:c>
      <x:c r="B536" s="6" t="str">
        <x:v>БашИнком</x:v>
      </x:c>
      <x:c r="C536" s="6" t="str">
        <x:v>Амблисейус монтдоренсис (Amblyseius montdorensis)</x:v>
      </x:c>
      <x:c r="D536" s="6" t="str">
        <x:v>Средство для растений/почвы</x:v>
      </x:c>
      <x:c r="E536" s="6" t="str">
        <x:v>Розничный каталог</x:v>
      </x:c>
      <x:c r="F536" s="6" t="str">
        <x:v>—</x:v>
      </x:c>
      <x:c r="G536" s="6" t="str">
        <x:v>сухой субстрат, в котором находятся взрослые особи, нимфы 1-го и 2-го возраста хищного клеща Амблисейус монтдоренсис. Размеры от 0,3 до 0,5 мм, окраска тела от бледно-белой до желтовато-оранжевой.</x:v>
      </x:c>
      <x:c r="H536" s="6" t="str">
        <x:v>Есть сведения; см. ограничения</x:v>
      </x:c>
      <x:c r="I536" s="6" t="str">
        <x:v>сухой субстрат</x:v>
      </x:c>
      <x:c r="J536" s="12" t="n">
        <x:v>1</x:v>
      </x:c>
      <x:c r="K536" s="6" t="str">
        <x:v>Близкий аналог не подтвержден</x:v>
      </x:c>
      <x:c r="L536" s="6"/>
      <x:c r="M536" s="13" t="str">
        <x:v>https://www.bashinkom.ru/products/ojz/EntomofagAmbliseyusmontdorensis</x:v>
      </x:c>
      <x:c r="N536" s="13"/>
    </x:row>
    <x:row r="537" ht="68" customHeight="1">
      <x:c r="A537" s="9" t="str">
        <x:v>P0532</x:v>
      </x:c>
      <x:c r="B537" s="9" t="str">
        <x:v>БашИнком</x:v>
      </x:c>
      <x:c r="C537" s="9" t="str">
        <x:v>Амблисейус монтдоренсис (Amblyseius montdorensis)</x:v>
      </x:c>
      <x:c r="D537" s="9" t="str">
        <x:v>Средство для растений/почвы</x:v>
      </x:c>
      <x:c r="E537" s="9" t="str">
        <x:v>Профессиональная линия</x:v>
      </x:c>
      <x:c r="F537" s="9" t="str">
        <x:v>—</x:v>
      </x:c>
      <x:c r="G537" s="9" t="str">
        <x:v>сухой субстрат, в котором находятся взрослые особи, нимфы 1-го и 2-го возраста хищного клеща Амблисейус монтдоренсис. Размеры от 0,3 до 0,5 мм, окраска тела от бледно-белой до желтовато-оранжевой.</x:v>
      </x:c>
      <x:c r="H537" s="9" t="str">
        <x:v>Есть сведения; см. ограничения</x:v>
      </x:c>
      <x:c r="I537" s="9" t="str">
        <x:v>сухой субстрат</x:v>
      </x:c>
      <x:c r="J537" s="10" t="n">
        <x:v>1</x:v>
      </x:c>
      <x:c r="K537" s="9" t="str">
        <x:v>Близкий аналог не подтвержден</x:v>
      </x:c>
      <x:c r="L537" s="9"/>
      <x:c r="M537" s="11" t="str">
        <x:v>https://www.bashinkom.ru/products/avz/AmbliseyusmontdorensisAmblyseiusmontdorensis</x:v>
      </x:c>
      <x:c r="N537" s="11"/>
    </x:row>
    <x:row r="538" ht="68" customHeight="1">
      <x:c r="A538" s="6" t="str">
        <x:v>P0533</x:v>
      </x:c>
      <x:c r="B538" s="6" t="str">
        <x:v>БашИнком</x:v>
      </x:c>
      <x:c r="C538" s="6" t="str">
        <x:v>АнтиГниль Порошок Фитоспорин–М,П</x:v>
      </x:c>
      <x:c r="D538" s="6" t="str">
        <x:v>Средство для растений/почвы</x:v>
      </x:c>
      <x:c r="E538" s="6" t="str">
        <x:v>Розничный каталог</x:v>
      </x:c>
      <x:c r="F538" s="6" t="str">
        <x:v>G30</x:v>
      </x:c>
      <x:c r="G538" s="6" t="str">
        <x:v>Бактериальная споровая культура Bacillus subtilis 26Д, титр живых спор и клеток не менее 2 млрд/мл.</x:v>
      </x:c>
      <x:c r="H538" s="6" t="str">
        <x:v>Есть сведения; см. ограничения</x:v>
      </x:c>
      <x:c r="I538" s="6" t="str">
        <x:v>Порошок</x:v>
      </x:c>
      <x:c r="J538" s="12" t="n">
        <x:v>1</x:v>
      </x:c>
      <x:c r="K538" s="6" t="str">
        <x:v>См. коды и ограничения на листе «Сопоставления»</x:v>
      </x:c>
      <x:c r="L538" s="6"/>
      <x:c r="M538" s="13" t="str">
        <x:v>https://www.bashinkom.ru/products/ojz/AntiGnilPoroshokFitosporinMP</x:v>
      </x:c>
      <x:c r="N538" s="13"/>
    </x:row>
    <x:row r="539" ht="68" customHeight="1">
      <x:c r="A539" s="9" t="str">
        <x:v>P0534</x:v>
      </x:c>
      <x:c r="B539" s="9" t="str">
        <x:v>БашИнком</x:v>
      </x:c>
      <x:c r="C539" s="9" t="str">
        <x:v>АнтиГниль Фитоспорин–М, Хранение</x:v>
      </x:c>
      <x:c r="D539" s="9" t="str">
        <x:v>Средство для растений/почвы</x:v>
      </x:c>
      <x:c r="E539" s="9" t="str">
        <x:v>Розничный каталог</x:v>
      </x:c>
      <x:c r="F539" s="9" t="str">
        <x:v>G30</x:v>
      </x:c>
      <x:c r="G539" s="9" t="str">
        <x:v>Бактериальная споровая культура Bacillus subtilis 26Д, титр живых спор и клеток не менее 1 млрд/мл.</x:v>
      </x:c>
      <x:c r="H539" s="9" t="str">
        <x:v>Есть сведения; см. ограничения</x:v>
      </x:c>
      <x:c r="I539" s="9" t="str">
        <x:v>Жидкость</x:v>
      </x:c>
      <x:c r="J539" s="10" t="n">
        <x:v>1</x:v>
      </x:c>
      <x:c r="K539" s="9" t="str">
        <x:v>См. коды и ограничения на листе «Сопоставления»</x:v>
      </x:c>
      <x:c r="L539" s="9"/>
      <x:c r="M539" s="11" t="str">
        <x:v>https://www.bashinkom.ru/products/ojz/AntiGnilPoroshokFitosporinMP30g</x:v>
      </x:c>
      <x:c r="N539" s="11"/>
    </x:row>
    <x:row r="540" ht="68" customHeight="1">
      <x:c r="A540" s="6" t="str">
        <x:v>P0535</x:v>
      </x:c>
      <x:c r="B540" s="6" t="str">
        <x:v>БашИнком</x:v>
      </x:c>
      <x:c r="C540" s="6" t="str">
        <x:v>Башполимик - Mo</x:v>
      </x:c>
      <x:c r="D540" s="6" t="str">
        <x:v>Средство для растений/почвы</x:v>
      </x:c>
      <x:c r="E540" s="6" t="str">
        <x:v>Профессиональная линия</x:v>
      </x:c>
      <x:c r="F540" s="6" t="str">
        <x:v>—</x:v>
      </x:c>
      <x:c r="G540" s="6" t="str">
        <x:v>Mo 80</x:v>
      </x:c>
      <x:c r="H540" s="6" t="str">
        <x:v>Есть сведения; см. ограничения</x:v>
      </x:c>
      <x:c r="I540" s="6" t="str">
        <x:v>Жидкость</x:v>
      </x:c>
      <x:c r="J540" s="12" t="n">
        <x:v>1</x:v>
      </x:c>
      <x:c r="K540" s="6" t="str">
        <x:v>Близкий аналог не подтвержден</x:v>
      </x:c>
      <x:c r="L540" s="6"/>
      <x:c r="M540" s="13" t="str">
        <x:v>https://www.bashinkom.ru/products/avz/BiopolimikMo</x:v>
      </x:c>
      <x:c r="N540" s="13"/>
    </x:row>
    <x:row r="541" ht="68" customHeight="1">
      <x:c r="A541" s="9" t="str">
        <x:v>P0536</x:v>
      </x:c>
      <x:c r="B541" s="9" t="str">
        <x:v>БашИнком</x:v>
      </x:c>
      <x:c r="C541" s="9" t="str">
        <x:v>Башполимик – NSMg</x:v>
      </x:c>
      <x:c r="D541" s="9" t="str">
        <x:v>Средство для растений/почвы</x:v>
      </x:c>
      <x:c r="E541" s="9" t="str">
        <x:v>Профессиональная линия</x:v>
      </x:c>
      <x:c r="F541" s="9" t="str">
        <x:v>G20</x:v>
      </x:c>
      <x:c r="G541" s="9" t="str">
        <x:v>N S Mg Cu Mo Mn 240 50 35 0,01 0,01 0,01</x:v>
      </x:c>
      <x:c r="H541" s="9" t="str">
        <x:v>Есть сведения; см. ограничения</x:v>
      </x:c>
      <x:c r="I541" s="9" t="str">
        <x:v>Жидкость</x:v>
      </x:c>
      <x:c r="J541" s="10" t="n">
        <x:v>1</x:v>
      </x:c>
      <x:c r="K541" s="9" t="str">
        <x:v>См. коды и ограничения на листе «Сопоставления»</x:v>
      </x:c>
      <x:c r="L541" s="9"/>
      <x:c r="M541" s="11" t="str">
        <x:v>https://www.bashinkom.ru/products/avz/BashpolimikNSMg</x:v>
      </x:c>
      <x:c r="N541" s="11"/>
    </x:row>
    <x:row r="542" ht="68" customHeight="1">
      <x:c r="A542" s="6" t="str">
        <x:v>P0537</x:v>
      </x:c>
      <x:c r="B542" s="6" t="str">
        <x:v>БашИнком</x:v>
      </x:c>
      <x:c r="C542" s="6" t="str">
        <x:v>Башполимик -Cu</x:v>
      </x:c>
      <x:c r="D542" s="6" t="str">
        <x:v>Средство для растений/почвы</x:v>
      </x:c>
      <x:c r="E542" s="6" t="str">
        <x:v>Профессиональная линия</x:v>
      </x:c>
      <x:c r="F542" s="6" t="str">
        <x:v>G21</x:v>
      </x:c>
      <x:c r="G542" s="6" t="str">
        <x:v>Состав (г/л) Cu S 60 30</x:v>
      </x:c>
      <x:c r="H542" s="6" t="str">
        <x:v>Есть сведения; см. ограничения</x:v>
      </x:c>
      <x:c r="I542" s="6" t="str">
        <x:v>Жидкость</x:v>
      </x:c>
      <x:c r="J542" s="12" t="n">
        <x:v>1</x:v>
      </x:c>
      <x:c r="K542" s="6" t="str">
        <x:v>См. коды и ограничения на листе «Сопоставления»</x:v>
      </x:c>
      <x:c r="L542" s="6"/>
      <x:c r="M542" s="13" t="str">
        <x:v>https://www.bashinkom.ru/products/avz/BIOPOLIMIKCu</x:v>
      </x:c>
      <x:c r="N542" s="13"/>
    </x:row>
    <x:row r="543" ht="68" customHeight="1">
      <x:c r="A543" s="9" t="str">
        <x:v>P0538</x:v>
      </x:c>
      <x:c r="B543" s="9" t="str">
        <x:v>БашИнком</x:v>
      </x:c>
      <x:c r="C543" s="9" t="str">
        <x:v>Башполимик -Cu, Zn</x:v>
      </x:c>
      <x:c r="D543" s="9" t="str">
        <x:v>Средство для растений/почвы</x:v>
      </x:c>
      <x:c r="E543" s="9" t="str">
        <x:v>Профессиональная линия</x:v>
      </x:c>
      <x:c r="F543" s="9" t="str">
        <x:v>G21</x:v>
      </x:c>
      <x:c r="G543" s="9" t="str">
        <x:v>Состав г/л Cu Zn S 20 60 35 Cu, Zn- в хелатной форме</x:v>
      </x:c>
      <x:c r="H543" s="9" t="str">
        <x:v>Есть сведения; см. ограничения</x:v>
      </x:c>
      <x:c r="I543" s="9" t="str">
        <x:v>Жидкость</x:v>
      </x:c>
      <x:c r="J543" s="10" t="n">
        <x:v>1</x:v>
      </x:c>
      <x:c r="K543" s="9" t="str">
        <x:v>См. коды и ограничения на листе «Сопоставления»</x:v>
      </x:c>
      <x:c r="L543" s="9"/>
      <x:c r="M543" s="11" t="str">
        <x:v>https://www.bashinkom.ru/products/avz/BiopolimikCuZn</x:v>
      </x:c>
      <x:c r="N543" s="11"/>
    </x:row>
    <x:row r="544" ht="68" customHeight="1">
      <x:c r="A544" s="6" t="str">
        <x:v>P0539</x:v>
      </x:c>
      <x:c r="B544" s="6" t="str">
        <x:v>БашИнком</x:v>
      </x:c>
      <x:c r="C544" s="6" t="str">
        <x:v>Башполимик Комплексный-Микс</x:v>
      </x:c>
      <x:c r="D544" s="6" t="str">
        <x:v>Средство для растений/почвы</x:v>
      </x:c>
      <x:c r="E544" s="6" t="str">
        <x:v>Профессиональная линия</x:v>
      </x:c>
      <x:c r="F544" s="6" t="str">
        <x:v>—</x:v>
      </x:c>
      <x:c r="G544" s="6" t="str">
        <x:v>N S B Cu Zn Fe Mn Mo Co Mg Cr Ni 6 28 1,7 7 14 3 3,5 4,6 1 9 0,3 0,1</x:v>
      </x:c>
      <x:c r="H544" s="6" t="str">
        <x:v>Есть сведения; см. ограничения</x:v>
      </x:c>
      <x:c r="I544" s="6" t="str">
        <x:v>Жидкость</x:v>
      </x:c>
      <x:c r="J544" s="12" t="n">
        <x:v>1</x:v>
      </x:c>
      <x:c r="K544" s="6" t="str">
        <x:v>Близкий аналог не подтвержден</x:v>
      </x:c>
      <x:c r="L544" s="6"/>
      <x:c r="M544" s="13" t="str">
        <x:v>https://www.bashinkom.ru/products/avz/BiopolimikKompleksnyMiks</x:v>
      </x:c>
      <x:c r="N544" s="13"/>
    </x:row>
    <x:row r="545" ht="68" customHeight="1">
      <x:c r="A545" s="9" t="str">
        <x:v>P0540</x:v>
      </x:c>
      <x:c r="B545" s="9" t="str">
        <x:v>БашИнком</x:v>
      </x:c>
      <x:c r="C545" s="9" t="str">
        <x:v>Башполимик Семена (Марки А и Б)</x:v>
      </x:c>
      <x:c r="D545" s="9" t="str">
        <x:v>Средство для растений/почвы</x:v>
      </x:c>
      <x:c r="E545" s="9" t="str">
        <x:v>Профессиональная линия</x:v>
      </x:c>
      <x:c r="F545" s="9" t="str">
        <x:v>G40</x:v>
      </x:c>
      <x:c r="G545" s="9" t="str">
        <x:v>Состав (г/л): Марка А: N P 2 O 5 K 2 O S B Mg Mo Co Se Cr Ni 80 15 10 15 8 5 5 0.5 0,01 0,1 0,1 Марка Б: Zn Cu Mn Fe S 30 15 5 2 24</x:v>
      </x:c>
      <x:c r="H545" s="9" t="str">
        <x:v>Есть сведения; см. ограничения</x:v>
      </x:c>
      <x:c r="I545" s="9" t="str">
        <x:v>Жидкость</x:v>
      </x:c>
      <x:c r="J545" s="10" t="n">
        <x:v>1</x:v>
      </x:c>
      <x:c r="K545" s="9" t="str">
        <x:v>См. коды и ограничения на листе «Сопоставления»</x:v>
      </x:c>
      <x:c r="L545" s="9"/>
      <x:c r="M545" s="11" t="str">
        <x:v>https://www.bashinkom.ru/products/avz/BiopolimikKompleksnyySemena</x:v>
      </x:c>
      <x:c r="N545" s="11"/>
    </x:row>
    <x:row r="546" ht="68" customHeight="1">
      <x:c r="A546" s="6" t="str">
        <x:v>P0541</x:v>
      </x:c>
      <x:c r="B546" s="6" t="str">
        <x:v>БашИнком</x:v>
      </x:c>
      <x:c r="C546" s="6" t="str">
        <x:v>Бей вредителя</x:v>
      </x:c>
      <x:c r="D546" s="6" t="str">
        <x:v>Средство для растений/почвы</x:v>
      </x:c>
      <x:c r="E546" s="6" t="str">
        <x:v>Розничный каталог</x:v>
      </x:c>
      <x:c r="F546" s="6" t="str">
        <x:v>—</x:v>
      </x:c>
      <x:c r="G546" s="6" t="str">
        <x:v>Гликоли растительного происхождения, метаболиты природных микроорганизмов</x:v>
      </x:c>
      <x:c r="H546" s="6" t="str">
        <x:v>Есть сведения; см. ограничения</x:v>
      </x:c>
      <x:c r="I546" s="6" t="str">
        <x:v>Жидкость, 500 мл</x:v>
      </x:c>
      <x:c r="J546" s="12" t="n">
        <x:v>1</x:v>
      </x:c>
      <x:c r="K546" s="6" t="str">
        <x:v>Близкий аналог не подтвержден</x:v>
      </x:c>
      <x:c r="L546" s="6"/>
      <x:c r="M546" s="13" t="str">
        <x:v>https://www.bashinkom.ru/products/ojz/Beyvreditelya500ml</x:v>
      </x:c>
      <x:c r="N546" s="13"/>
    </x:row>
    <x:row r="547" ht="96" customHeight="1">
      <x:c r="A547" s="9" t="str">
        <x:v>P0542</x:v>
      </x:c>
      <x:c r="B547" s="9" t="str">
        <x:v>БашИнком</x:v>
      </x:c>
      <x:c r="C547" s="9" t="str">
        <x:v>БиоАзФК</x:v>
      </x:c>
      <x:c r="D547" s="9" t="str">
        <x:v>Средство для растений/почвы</x:v>
      </x:c>
      <x:c r="E547" s="9" t="str">
        <x:v>Розничный каталог</x:v>
      </x:c>
      <x:c r="F547" s="9" t="str">
        <x:v>G13</x:v>
      </x:c>
      <x:c r="G547" s="9" t="str">
        <x:v>Фосфор- и калиймобилизующие бактерии Bacillus megaterium, штамм 132 – не менее 1×10^8 КОЕ/мл; Bacillus mucilaginosus, штамм Кор-4 – не менее 1×10^8 КОЕ/мл; азотфиксирующие бактерии Azotobacter chroococcum, штамм В8739 – титр не менее 1×10^7 КОЕ/мл, природные ауксины, цитокинины, аминокислоты, витамины.</x:v>
      </x:c>
      <x:c r="H547" s="9" t="str">
        <x:v>Есть сведения; см. ограничения</x:v>
      </x:c>
      <x:c r="I547" s="9" t="str">
        <x:v>Жидкость</x:v>
      </x:c>
      <x:c r="J547" s="10" t="n">
        <x:v>1</x:v>
      </x:c>
      <x:c r="K547" s="9" t="str">
        <x:v>См. коды и ограничения на листе «Сопоставления»</x:v>
      </x:c>
      <x:c r="L547" s="9"/>
      <x:c r="M547" s="11" t="str">
        <x:v>https://www.bashinkom.ru/products/ojz/BioAzFK05l</x:v>
      </x:c>
      <x:c r="N547" s="11"/>
    </x:row>
    <x:row r="548" ht="96" customHeight="1">
      <x:c r="A548" s="6" t="str">
        <x:v>P0543</x:v>
      </x:c>
      <x:c r="B548" s="6" t="str">
        <x:v>БашИнком</x:v>
      </x:c>
      <x:c r="C548" s="6" t="str">
        <x:v>БиоАзФК</x:v>
      </x:c>
      <x:c r="D548" s="6" t="str">
        <x:v>Средство для растений/почвы</x:v>
      </x:c>
      <x:c r="E548" s="6" t="str">
        <x:v>Профессиональная линия</x:v>
      </x:c>
      <x:c r="F548" s="6" t="str">
        <x:v>G13</x:v>
      </x:c>
      <x:c r="G548" s="6" t="str">
        <x:v>Азотфиксирующие бактерии Azotobacter chroococcum, титр не менее 1×10^7 КОЕ/мл; Фосформобилизующие бактерии Bacillus megaterium,титр не менее 1×10^8 КОЕ/мл; Фосфор- и калиймобилизующие бактерии Bacillus mucilaginosus, титр не менее 1×10^8 КОЕ/мл; Природные полисахариды, фитогормоны, витамины.</x:v>
      </x:c>
      <x:c r="H548" s="6" t="str">
        <x:v>Есть сведения; см. ограничения</x:v>
      </x:c>
      <x:c r="I548" s="6" t="str">
        <x:v>Жидкость</x:v>
      </x:c>
      <x:c r="J548" s="12" t="n">
        <x:v>1</x:v>
      </x:c>
      <x:c r="K548" s="6" t="str">
        <x:v>См. коды и ограничения на листе «Сопоставления»</x:v>
      </x:c>
      <x:c r="L548" s="6"/>
      <x:c r="M548" s="13" t="str">
        <x:v>https://www.bashinkom.ru/products/avz/BioAzFK</x:v>
      </x:c>
      <x:c r="N548" s="13"/>
    </x:row>
    <x:row r="549" ht="68" customHeight="1">
      <x:c r="A549" s="9" t="str">
        <x:v>P0544</x:v>
      </x:c>
      <x:c r="B549" s="9" t="str">
        <x:v>БашИнком</x:v>
      </x:c>
      <x:c r="C549" s="9" t="str">
        <x:v>Биолипостим</x:v>
      </x:c>
      <x:c r="D549" s="9" t="str">
        <x:v>Средство для растений/почвы</x:v>
      </x:c>
      <x:c r="E549" s="9" t="str">
        <x:v>Профессиональная линия</x:v>
      </x:c>
      <x:c r="F549" s="9" t="str">
        <x:v>G29</x:v>
      </x:c>
      <x:c r="G549" s="9" t="str">
        <x:v>Водный раствор липкогенной композиции полисахаридов растительного и микробиологического происхождения</x:v>
      </x:c>
      <x:c r="H549" s="9" t="str">
        <x:v>Есть сведения; см. ограничения</x:v>
      </x:c>
      <x:c r="I549" s="9" t="str">
        <x:v>Жидкость</x:v>
      </x:c>
      <x:c r="J549" s="10" t="n">
        <x:v>1</x:v>
      </x:c>
      <x:c r="K549" s="9" t="str">
        <x:v>См. коды и ограничения на листе «Сопоставления»</x:v>
      </x:c>
      <x:c r="L549" s="9"/>
      <x:c r="M549" s="11" t="str">
        <x:v>https://www.bashinkom.ru/products/avz/Biolipostim</x:v>
      </x:c>
      <x:c r="N549" s="11"/>
    </x:row>
    <x:row r="550" ht="82" customHeight="1">
      <x:c r="A550" s="6" t="str">
        <x:v>P0545</x:v>
      </x:c>
      <x:c r="B550" s="6" t="str">
        <x:v>БашИнком</x:v>
      </x:c>
      <x:c r="C550" s="6" t="str">
        <x:v>БИОНЕКС–1</x:v>
      </x:c>
      <x:c r="D550" s="6" t="str">
        <x:v>Средство для растений/почвы</x:v>
      </x:c>
      <x:c r="E550" s="6" t="str">
        <x:v>Розничный каталог</x:v>
      </x:c>
      <x:c r="F550" s="6" t="str">
        <x:v>—</x:v>
      </x:c>
      <x:c r="G550" s="6" t="str">
        <x:v>Ферментированный куриный помёт, эликсир плодородия Гуми, гумусное удобрение Хозяин-Батюшка, Фитоспорин-М. Содержит: азот–1-2,5%, фосфор–2,5-5%, калий–0,5-1,5%; органическое вещество - не менее 10% + более 80 микроэлементов и минералов природного происхождения.</x:v>
      </x:c>
      <x:c r="H550" s="6" t="str">
        <x:v>Есть сведения; см. ограничения</x:v>
      </x:c>
      <x:c r="I550" s="6" t="str">
        <x:v>Порошок</x:v>
      </x:c>
      <x:c r="J550" s="12" t="n">
        <x:v>2</x:v>
      </x:c>
      <x:c r="K550" s="6" t="str">
        <x:v>Близкий аналог не подтвержден</x:v>
      </x:c>
      <x:c r="L550" s="6"/>
      <x:c r="M550" s="13" t="str">
        <x:v>https://www.bashinkom.ru/products/ojz/BIONEKS12kg</x:v>
      </x:c>
      <x:c r="N550" s="13"/>
    </x:row>
    <x:row r="551" ht="68" customHeight="1">
      <x:c r="A551" s="9" t="str">
        <x:v>P0546</x:v>
      </x:c>
      <x:c r="B551" s="9" t="str">
        <x:v>БашИнком</x:v>
      </x:c>
      <x:c r="C551" s="9" t="str">
        <x:v>Бионекс-Кеми 14:0:16+20</x:v>
      </x:c>
      <x:c r="D551" s="9" t="str">
        <x:v>Средство для растений/почвы</x:v>
      </x:c>
      <x:c r="E551" s="9" t="str">
        <x:v>Профессиональная линия</x:v>
      </x:c>
      <x:c r="F551" s="9" t="str">
        <x:v>G35</x:v>
      </x:c>
      <x:c r="G551" s="9" t="str">
        <x:v>N P 2 O 5 K 2 O Mg S B Fe Cu Mn Mo Co 14 0 16 0,7 20 0,025 0,01 0,01 0,01 0,005 0,001 Cu, Zn, Fe, Mn, Co – в хелатной форме NK – с высоким содержанием азота, калия, серы и комплекса микроэлементов.</x:v>
      </x:c>
      <x:c r="H551" s="9" t="str">
        <x:v>Есть сведения; см. ограничения</x:v>
      </x:c>
      <x:c r="I551" s="9" t="str">
        <x:v>Гранулы</x:v>
      </x:c>
      <x:c r="J551" s="10" t="n">
        <x:v>1</x:v>
      </x:c>
      <x:c r="K551" s="9" t="str">
        <x:v>См. коды и ограничения на листе «Сопоставления»</x:v>
      </x:c>
      <x:c r="L551" s="9"/>
      <x:c r="M551" s="11" t="str">
        <x:v>https://www.bashinkom.ru/products/avz/BioneksKemiRastvorimyy1401620</x:v>
      </x:c>
      <x:c r="N551" s="11"/>
    </x:row>
    <x:row r="552" ht="68" customHeight="1">
      <x:c r="A552" s="6" t="str">
        <x:v>P0547</x:v>
      </x:c>
      <x:c r="B552" s="6" t="str">
        <x:v>БашИнком</x:v>
      </x:c>
      <x:c r="C552" s="6" t="str">
        <x:v>Бионекс-Кеми 2:40:27+1,2</x:v>
      </x:c>
      <x:c r="D552" s="6" t="str">
        <x:v>Средство для растений/почвы</x:v>
      </x:c>
      <x:c r="E552" s="6" t="str">
        <x:v>Профессиональная линия</x:v>
      </x:c>
      <x:c r="F552" s="6" t="str">
        <x:v>G26; G27; G35</x:v>
      </x:c>
      <x:c r="G552" s="6" t="str">
        <x:v>N P 2 O 5 K 2 O Mg S B Fe Cu Zn Mn Mo Co 2 40 27 1,2 4 0,025 0,01 0,01 0,01 0,01 0,005 0,001 Cu, Zn, Fe, Mn, Co – в хелатной форме NPK – с высоким содержанием фосфора, калия и комплекса микроэлементов.</x:v>
      </x:c>
      <x:c r="H552" s="6" t="str">
        <x:v>Есть сведения; см. ограничения</x:v>
      </x:c>
      <x:c r="I552" s="6" t="str">
        <x:v>Гранулы</x:v>
      </x:c>
      <x:c r="J552" s="12" t="n">
        <x:v>1</x:v>
      </x:c>
      <x:c r="K552" s="6" t="str">
        <x:v>См. коды и ограничения на листе «Сопоставления»</x:v>
      </x:c>
      <x:c r="L552" s="6"/>
      <x:c r="M552" s="13" t="str">
        <x:v>https://www.bashinkom.ru/products/avz/BioneksKemiRastvorimyy2402712</x:v>
      </x:c>
      <x:c r="N552" s="13"/>
    </x:row>
    <x:row r="553" ht="68" customHeight="1">
      <x:c r="A553" s="9" t="str">
        <x:v>P0548</x:v>
      </x:c>
      <x:c r="B553" s="9" t="str">
        <x:v>БашИнком</x:v>
      </x:c>
      <x:c r="C553" s="9" t="str">
        <x:v>Бионекс-Кеми NPK + Mg+ S 18:18:18+1,1+5</x:v>
      </x:c>
      <x:c r="D553" s="9" t="str">
        <x:v>Средство для растений/почвы</x:v>
      </x:c>
      <x:c r="E553" s="9" t="str">
        <x:v>Профессиональная линия</x:v>
      </x:c>
      <x:c r="F553" s="9" t="str">
        <x:v>G35</x:v>
      </x:c>
      <x:c r="G553" s="9" t="str">
        <x:v>N P 2 O 5 K 2 O Mg S B Fe Cu Mn Mo Co Zn 18 18 18 1,1 5 0,025 0,01 0,01 0,01 0,005 0,001 0,01 Cu, Zn, Fe, Mn, Co – в хелатной форме NPK – с повышенным содержанием магния и серы, комплекса микроэлементов.</x:v>
      </x:c>
      <x:c r="H553" s="9" t="str">
        <x:v>Есть сведения; см. ограничения</x:v>
      </x:c>
      <x:c r="I553" s="9" t="str">
        <x:v>Гранулы</x:v>
      </x:c>
      <x:c r="J553" s="10" t="n">
        <x:v>1</x:v>
      </x:c>
      <x:c r="K553" s="9" t="str">
        <x:v>См. коды и ограничения на листе «Сопоставления»</x:v>
      </x:c>
      <x:c r="L553" s="9"/>
      <x:c r="M553" s="11" t="str">
        <x:v>https://www.bashinkom.ru/products/avz/BioneksKemiRastvorimyy18181811</x:v>
      </x:c>
      <x:c r="N553" s="11"/>
    </x:row>
    <x:row r="554" ht="68" customHeight="1">
      <x:c r="A554" s="6" t="str">
        <x:v>P0549</x:v>
      </x:c>
      <x:c r="B554" s="6" t="str">
        <x:v>БашИнком</x:v>
      </x:c>
      <x:c r="C554" s="6" t="str">
        <x:v>Бионекс-Кеми NPK + Mg+ S 9:12:33+1,4+ 5</x:v>
      </x:c>
      <x:c r="D554" s="6" t="str">
        <x:v>Средство для растений/почвы</x:v>
      </x:c>
      <x:c r="E554" s="6" t="str">
        <x:v>Профессиональная линия</x:v>
      </x:c>
      <x:c r="F554" s="6" t="str">
        <x:v>G35</x:v>
      </x:c>
      <x:c r="G554" s="6" t="str">
        <x:v>N P 2 O 5 K 2 O Mg S B Fe Cu Mn Mo Co Zn 9 12 33 1,4 5 0,025 0,01 0,01 0,01 0,005 0,001 0,01 Cu, Zn, Fe, Mn, Co – в хелатной форме NPK – с высоким содержанием калия, серы и комплекса микроэлементов.</x:v>
      </x:c>
      <x:c r="H554" s="6" t="str">
        <x:v>Есть сведения; см. ограничения</x:v>
      </x:c>
      <x:c r="I554" s="6" t="str">
        <x:v>Гранулы</x:v>
      </x:c>
      <x:c r="J554" s="12" t="n">
        <x:v>1</x:v>
      </x:c>
      <x:c r="K554" s="6" t="str">
        <x:v>См. коды и ограничения на листе «Сопоставления»</x:v>
      </x:c>
      <x:c r="L554" s="6"/>
      <x:c r="M554" s="13" t="str">
        <x:v>https://www.bashinkom.ru/products/avz/BioneksKemiRastvorimyy</x:v>
      </x:c>
      <x:c r="N554" s="13"/>
    </x:row>
    <x:row r="555" ht="68" customHeight="1">
      <x:c r="A555" s="9" t="str">
        <x:v>P0550</x:v>
      </x:c>
      <x:c r="B555" s="9" t="str">
        <x:v>БашИнком</x:v>
      </x:c>
      <x:c r="C555" s="9" t="str">
        <x:v>Бионекс-Кеми NPK+Mg+S 15:11:25+1,2+7</x:v>
      </x:c>
      <x:c r="D555" s="9" t="str">
        <x:v>Средство для растений/почвы</x:v>
      </x:c>
      <x:c r="E555" s="9" t="str">
        <x:v>Профессиональная линия</x:v>
      </x:c>
      <x:c r="F555" s="9" t="str">
        <x:v>G35</x:v>
      </x:c>
      <x:c r="G555" s="9" t="str">
        <x:v>NPK+Mg+S+микроэлементы N P 2 O 5 K 2 O Mg S B Fe Cu Mn Mo Co Zn 15 11 25 1,2 7 0,025 0,01 0,01 0,01 0,005 0,001 0,01 Cu, Zn, Fe, Mn, Co – в хелатной форме</x:v>
      </x:c>
      <x:c r="H555" s="9" t="str">
        <x:v>Есть сведения; см. ограничения</x:v>
      </x:c>
      <x:c r="I555" s="9" t="str">
        <x:v>Гранулы</x:v>
      </x:c>
      <x:c r="J555" s="10" t="n">
        <x:v>1</x:v>
      </x:c>
      <x:c r="K555" s="9" t="str">
        <x:v>См. коды и ограничения на листе «Сопоставления»</x:v>
      </x:c>
      <x:c r="L555" s="9"/>
      <x:c r="M555" s="11" t="str">
        <x:v>https://www.bashinkom.ru/products/avz/BioneksKemiRastvorimyy15112512</x:v>
      </x:c>
      <x:c r="N555" s="11"/>
    </x:row>
    <x:row r="556" ht="68" customHeight="1">
      <x:c r="A556" s="6" t="str">
        <x:v>P0551</x:v>
      </x:c>
      <x:c r="B556" s="6" t="str">
        <x:v>БашИнком</x:v>
      </x:c>
      <x:c r="C556" s="6" t="str">
        <x:v>Бионекс-Кеми Жидкий NCa 7:10</x:v>
      </x:c>
      <x:c r="D556" s="6" t="str">
        <x:v>Средство для растений/почвы</x:v>
      </x:c>
      <x:c r="E556" s="6" t="str">
        <x:v>Профессиональная линия</x:v>
      </x:c>
      <x:c r="F556" s="6" t="str">
        <x:v>G18; G35</x:v>
      </x:c>
      <x:c r="G556" s="6" t="str">
        <x:v>N Ca 70 100</x:v>
      </x:c>
      <x:c r="H556" s="6" t="str">
        <x:v>Есть сведения; см. ограничения</x:v>
      </x:c>
      <x:c r="I556" s="6" t="str">
        <x:v>Жидкость</x:v>
      </x:c>
      <x:c r="J556" s="12" t="n">
        <x:v>1</x:v>
      </x:c>
      <x:c r="K556" s="6" t="str">
        <x:v>См. коды и ограничения на листе «Сопоставления»</x:v>
      </x:c>
      <x:c r="L556" s="6"/>
      <x:c r="M556" s="13" t="str">
        <x:v>https://www.bashinkom.ru/products/avz/BioneksKemiZHidkiyNCa710</x:v>
      </x:c>
      <x:c r="N556" s="13"/>
    </x:row>
    <x:row r="557" ht="68" customHeight="1">
      <x:c r="A557" s="9" t="str">
        <x:v>P0552</x:v>
      </x:c>
      <x:c r="B557" s="9" t="str">
        <x:v>БашИнком</x:v>
      </x:c>
      <x:c r="C557" s="9" t="str">
        <x:v>Бионекс-Кеми Жидкий NPK 0:18:20+ МЭ</x:v>
      </x:c>
      <x:c r="D557" s="9" t="str">
        <x:v>Средство для растений/почвы</x:v>
      </x:c>
      <x:c r="E557" s="9" t="str">
        <x:v>Профессиональная линия</x:v>
      </x:c>
      <x:c r="F557" s="9" t="str">
        <x:v>G35</x:v>
      </x:c>
      <x:c r="G557" s="9" t="str">
        <x:v>N P 2 O 5 K 2 O S B Cu Zn Mn Mo Co 0 18 20 0,04 0,01 0,02 0,01 0,01 0,002 0,002 Cu, Zn, Mn, Co - в хелатной форме Высокое содержание фосфора, калия, комплекса микроэлементов.</x:v>
      </x:c>
      <x:c r="H557" s="9" t="str">
        <x:v>Есть сведения; см. ограничения</x:v>
      </x:c>
      <x:c r="I557" s="9" t="str">
        <x:v>Жидкость</x:v>
      </x:c>
      <x:c r="J557" s="10" t="n">
        <x:v>1</x:v>
      </x:c>
      <x:c r="K557" s="9" t="str">
        <x:v>См. коды и ограничения на листе «Сопоставления»</x:v>
      </x:c>
      <x:c r="L557" s="9"/>
      <x:c r="M557" s="11" t="str">
        <x:v>https://www.bashinkom.ru/products/avz/BioneksKemiZHidkiy01820ME</x:v>
      </x:c>
      <x:c r="N557" s="11"/>
    </x:row>
    <x:row r="558" ht="68" customHeight="1">
      <x:c r="A558" s="6" t="str">
        <x:v>P0553</x:v>
      </x:c>
      <x:c r="B558" s="6" t="str">
        <x:v>БашИнком</x:v>
      </x:c>
      <x:c r="C558" s="6" t="str">
        <x:v>Бионекс-Кеми Жидкий NPK 10:10:10+МЭ</x:v>
      </x:c>
      <x:c r="D558" s="6" t="str">
        <x:v>Средство для растений/почвы</x:v>
      </x:c>
      <x:c r="E558" s="6" t="str">
        <x:v>Профессиональная линия</x:v>
      </x:c>
      <x:c r="F558" s="6" t="str">
        <x:v>G35</x:v>
      </x:c>
      <x:c r="G558" s="6" t="str">
        <x:v>N P 2 O 5 K 2 O S B Cu Zn Mn Mo Co 10 10 10 0,04 0,01 0,02 0,01 0,01 0,002 0,002 Cu, Zn, Mn, Co – в хелатной форме. NPK – с высоким содержанием азота, фосфора, калия и комплекса микроэлементов, биофунгицида Фитоспорин-М.</x:v>
      </x:c>
      <x:c r="H558" s="6" t="str">
        <x:v>Есть сведения; см. ограничения</x:v>
      </x:c>
      <x:c r="I558" s="6" t="str">
        <x:v>Жидкость</x:v>
      </x:c>
      <x:c r="J558" s="12" t="n">
        <x:v>1</x:v>
      </x:c>
      <x:c r="K558" s="6" t="str">
        <x:v>См. коды и ограничения на листе «Сопоставления»</x:v>
      </x:c>
      <x:c r="L558" s="6"/>
      <x:c r="M558" s="13" t="str">
        <x:v>https://www.bashinkom.ru/products/avz/BioneksKemiZHidkiy101010ME</x:v>
      </x:c>
      <x:c r="N558" s="13"/>
    </x:row>
    <x:row r="559" ht="68" customHeight="1">
      <x:c r="A559" s="9" t="str">
        <x:v>P0554</x:v>
      </x:c>
      <x:c r="B559" s="9" t="str">
        <x:v>БашИнком</x:v>
      </x:c>
      <x:c r="C559" s="9" t="str">
        <x:v>Бионекс-Кеми Жидкий NPK 10:30:0+ МЭ</x:v>
      </x:c>
      <x:c r="D559" s="9" t="str">
        <x:v>Средство для растений/почвы</x:v>
      </x:c>
      <x:c r="E559" s="9" t="str">
        <x:v>Профессиональная линия</x:v>
      </x:c>
      <x:c r="F559" s="9" t="str">
        <x:v>G27; G35</x:v>
      </x:c>
      <x:c r="G559" s="9" t="str">
        <x:v>N P 2 O 5 K 2 O S B Cu Zn Mn Mo Co 10 30 0 0,04 0,01 0,02 0,01 0,01 0,002 0,002 Cu, Zn, Mn, Co – в хелатной форме. Оптимальное содержание азота, фосфора, комплекса микроэлементов.</x:v>
      </x:c>
      <x:c r="H559" s="9" t="str">
        <x:v>Есть сведения; см. ограничения</x:v>
      </x:c>
      <x:c r="I559" s="9" t="str">
        <x:v>Жидкость</x:v>
      </x:c>
      <x:c r="J559" s="10" t="n">
        <x:v>1</x:v>
      </x:c>
      <x:c r="K559" s="9" t="str">
        <x:v>См. коды и ограничения на листе «Сопоставления»</x:v>
      </x:c>
      <x:c r="L559" s="9"/>
      <x:c r="M559" s="11" t="str">
        <x:v>https://www.bashinkom.ru/products/avz/BioneksKemiZHidkiy10300ME</x:v>
      </x:c>
      <x:c r="N559" s="11"/>
    </x:row>
    <x:row r="560" ht="68" customHeight="1">
      <x:c r="A560" s="6" t="str">
        <x:v>P0555</x:v>
      </x:c>
      <x:c r="B560" s="6" t="str">
        <x:v>БашИнком</x:v>
      </x:c>
      <x:c r="C560" s="6" t="str">
        <x:v>Бионекс-Кеми Жидкий NPK 15:7:8 + МЭ</x:v>
      </x:c>
      <x:c r="D560" s="6" t="str">
        <x:v>Средство для растений/почвы</x:v>
      </x:c>
      <x:c r="E560" s="6" t="str">
        <x:v>Профессиональная линия</x:v>
      </x:c>
      <x:c r="F560" s="6" t="str">
        <x:v>G35</x:v>
      </x:c>
      <x:c r="G560" s="6" t="str">
        <x:v>N P 2 O 5 K 2 O S B Cu Zn Mn Mo Co 15 7 8 0,04 0,01 0,02 0,01 0,01 0,002 0,002 Cu, Zn, Mn, Co – в хелатной форме. NPK – с высоким содержанием азота, фосфора, калия и комплекса микроэлементов.</x:v>
      </x:c>
      <x:c r="H560" s="6" t="str">
        <x:v>Есть сведения; см. ограничения</x:v>
      </x:c>
      <x:c r="I560" s="6" t="str">
        <x:v>Жидкость</x:v>
      </x:c>
      <x:c r="J560" s="12" t="n">
        <x:v>1</x:v>
      </x:c>
      <x:c r="K560" s="6" t="str">
        <x:v>См. коды и ограничения на листе «Сопоставления»</x:v>
      </x:c>
      <x:c r="L560" s="6"/>
      <x:c r="M560" s="13" t="str">
        <x:v>https://www.bashinkom.ru/products/avz/BioneksKemiZHidkiy1578ME</x:v>
      </x:c>
      <x:c r="N560" s="13"/>
    </x:row>
    <x:row r="561" ht="68" customHeight="1">
      <x:c r="A561" s="9" t="str">
        <x:v>P0556</x:v>
      </x:c>
      <x:c r="B561" s="9" t="str">
        <x:v>БашИнком</x:v>
      </x:c>
      <x:c r="C561" s="9" t="str">
        <x:v>Бионекс-Кеми Жидкий NPK 21:4:4+МЭ</x:v>
      </x:c>
      <x:c r="D561" s="9" t="str">
        <x:v>Средство для растений/почвы</x:v>
      </x:c>
      <x:c r="E561" s="9" t="str">
        <x:v>Профессиональная линия</x:v>
      </x:c>
      <x:c r="F561" s="9" t="str">
        <x:v>G26; G35</x:v>
      </x:c>
      <x:c r="G561" s="9" t="str">
        <x:v>N P 2 O 5 K 2 O S B Cu Zn Mn Mo Co 21 4 4 0,04 0,01 0,02 0,01 0,01 0,002 0,002 Cu, Zn, Mn, Co - в хелатной форме NPK – с высоким содержанием азота, комплекса микроэлементов.</x:v>
      </x:c>
      <x:c r="H561" s="9" t="str">
        <x:v>Есть сведения; см. ограничения</x:v>
      </x:c>
      <x:c r="I561" s="9" t="str">
        <x:v>Жидкость</x:v>
      </x:c>
      <x:c r="J561" s="10" t="n">
        <x:v>1</x:v>
      </x:c>
      <x:c r="K561" s="9" t="str">
        <x:v>См. коды и ограничения на листе «Сопоставления»</x:v>
      </x:c>
      <x:c r="L561" s="9"/>
      <x:c r="M561" s="11" t="str">
        <x:v>https://www.bashinkom.ru/products/avz/BioneksKemiZHidkiy2144ME</x:v>
      </x:c>
      <x:c r="N561" s="11"/>
    </x:row>
    <x:row r="562" ht="68" customHeight="1">
      <x:c r="A562" s="6" t="str">
        <x:v>P0557</x:v>
      </x:c>
      <x:c r="B562" s="6" t="str">
        <x:v>БашИнком</x:v>
      </x:c>
      <x:c r="C562" s="6" t="str">
        <x:v>Бионекс-Кеми Профи NPK + Mg 40:1,5:2+0,7+2</x:v>
      </x:c>
      <x:c r="D562" s="6" t="str">
        <x:v>Средство для растений/почвы</x:v>
      </x:c>
      <x:c r="E562" s="6" t="str">
        <x:v>Профессиональная линия</x:v>
      </x:c>
      <x:c r="F562" s="6" t="str">
        <x:v>G26; G35</x:v>
      </x:c>
      <x:c r="G562" s="6" t="str">
        <x:v>N P 2 O 5 K 2 O Mg S B Fe Cu Mn Mo Co Zn 40 1,5 2 0,7 2 0,025 0,01 0,01 0,01 0,005 0,001 0,01 Cu, Zn, Fe, Mn, Co – в хелатной форме. NPK – с высоким содержанием азота и комплекса микроэлементов.</x:v>
      </x:c>
      <x:c r="H562" s="6" t="str">
        <x:v>Есть сведения; см. ограничения</x:v>
      </x:c>
      <x:c r="I562" s="6" t="str">
        <x:v>Гранулы</x:v>
      </x:c>
      <x:c r="J562" s="12" t="n">
        <x:v>1</x:v>
      </x:c>
      <x:c r="K562" s="6" t="str">
        <x:v>См. коды и ограничения на листе «Сопоставления»</x:v>
      </x:c>
      <x:c r="L562" s="6"/>
      <x:c r="M562" s="13" t="str">
        <x:v>https://www.bashinkom.ru/products/avz/BioneksKemiRastvorimyy4015207</x:v>
      </x:c>
      <x:c r="N562" s="13"/>
    </x:row>
    <x:row r="563" ht="68" customHeight="1">
      <x:c r="A563" s="9" t="str">
        <x:v>P0558</x:v>
      </x:c>
      <x:c r="B563" s="9" t="str">
        <x:v>БашИнком</x:v>
      </x:c>
      <x:c r="C563" s="9" t="str">
        <x:v>Бионекс-Кеми Профи NPK+Mg+S 35:1:1,5+0,7+6</x:v>
      </x:c>
      <x:c r="D563" s="9" t="str">
        <x:v>Средство для растений/почвы</x:v>
      </x:c>
      <x:c r="E563" s="9" t="str">
        <x:v>Профессиональная линия</x:v>
      </x:c>
      <x:c r="F563" s="9" t="str">
        <x:v>G26; G35</x:v>
      </x:c>
      <x:c r="G563" s="9" t="str">
        <x:v>N P 2 O 5 K 2 O Mg S B Fe Cu Mn Mo Co 35 1 1,5 0,7 6 0,025 0,01 0,01 0,01 0,005 0,001 Cu, Zn, Fe, Mn, Co – в хелатной форме NPK – с высоким содержанием азота, серы и комплекса микроэлементов.</x:v>
      </x:c>
      <x:c r="H563" s="9" t="str">
        <x:v>Есть сведения; см. ограничения</x:v>
      </x:c>
      <x:c r="I563" s="9" t="str">
        <x:v>Гранулы</x:v>
      </x:c>
      <x:c r="J563" s="10" t="n">
        <x:v>1</x:v>
      </x:c>
      <x:c r="K563" s="9" t="str">
        <x:v>См. коды и ограничения на листе «Сопоставления»</x:v>
      </x:c>
      <x:c r="L563" s="9"/>
      <x:c r="M563" s="11" t="str">
        <x:v>https://www.bashinkom.ru/products/avz/BioneksKemiRastvorimyy35115076</x:v>
      </x:c>
      <x:c r="N563" s="11"/>
    </x:row>
    <x:row r="564" ht="68" customHeight="1">
      <x:c r="A564" s="6" t="str">
        <x:v>P0559</x:v>
      </x:c>
      <x:c r="B564" s="6" t="str">
        <x:v>БашИнком</x:v>
      </x:c>
      <x:c r="C564" s="6" t="str">
        <x:v>Биополимик - Co</x:v>
      </x:c>
      <x:c r="D564" s="6" t="str">
        <x:v>Средство для растений/почвы</x:v>
      </x:c>
      <x:c r="E564" s="6" t="str">
        <x:v>Профессиональная линия</x:v>
      </x:c>
      <x:c r="F564" s="6" t="str">
        <x:v>—</x:v>
      </x:c>
      <x:c r="G564" s="6" t="str">
        <x:v>Состав (г/л): Co S 40,0 20,0</x:v>
      </x:c>
      <x:c r="H564" s="6" t="str">
        <x:v>Есть сведения; см. ограничения</x:v>
      </x:c>
      <x:c r="I564" s="6" t="str">
        <x:v>Жидкость</x:v>
      </x:c>
      <x:c r="J564" s="12" t="n">
        <x:v>1</x:v>
      </x:c>
      <x:c r="K564" s="6" t="str">
        <x:v>Близкий аналог не подтвержден</x:v>
      </x:c>
      <x:c r="L564" s="6"/>
      <x:c r="M564" s="13" t="str">
        <x:v>https://www.bashinkom.ru/products/avz/BiopolimikCo</x:v>
      </x:c>
      <x:c r="N564" s="13"/>
    </x:row>
    <x:row r="565" ht="68" customHeight="1">
      <x:c r="A565" s="9" t="str">
        <x:v>P0560</x:v>
      </x:c>
      <x:c r="B565" s="9" t="str">
        <x:v>БашИнком</x:v>
      </x:c>
      <x:c r="C565" s="9" t="str">
        <x:v>Биополимик - Si</x:v>
      </x:c>
      <x:c r="D565" s="9" t="str">
        <x:v>Средство для растений/почвы</x:v>
      </x:c>
      <x:c r="E565" s="9" t="str">
        <x:v>Профессиональная линия</x:v>
      </x:c>
      <x:c r="F565" s="9" t="str">
        <x:v>—</x:v>
      </x:c>
      <x:c r="G565" s="9" t="str">
        <x:v>SiO 2 13,5 Гуминовые вещества- 2,6 %</x:v>
      </x:c>
      <x:c r="H565" s="9" t="str">
        <x:v>Есть сведения; см. ограничения</x:v>
      </x:c>
      <x:c r="I565" s="9" t="str">
        <x:v>Жидкость</x:v>
      </x:c>
      <x:c r="J565" s="10" t="n">
        <x:v>1</x:v>
      </x:c>
      <x:c r="K565" s="9" t="str">
        <x:v>Близкий аналог не подтвержден</x:v>
      </x:c>
      <x:c r="L565" s="9"/>
      <x:c r="M565" s="11" t="str">
        <x:v>https://www.bashinkom.ru/products/avz/BiopolimikSi</x:v>
      </x:c>
      <x:c r="N565" s="11"/>
    </x:row>
    <x:row r="566" ht="68" customHeight="1">
      <x:c r="A566" s="6" t="str">
        <x:v>P0561</x:v>
      </x:c>
      <x:c r="B566" s="6" t="str">
        <x:v>БашИнком</x:v>
      </x:c>
      <x:c r="C566" s="6" t="str">
        <x:v>Биополимик -Fe</x:v>
      </x:c>
      <x:c r="D566" s="6" t="str">
        <x:v>Средство для растений/почвы</x:v>
      </x:c>
      <x:c r="E566" s="6" t="str">
        <x:v>Профессиональная линия</x:v>
      </x:c>
      <x:c r="F566" s="6" t="str">
        <x:v>G19</x:v>
      </x:c>
      <x:c r="G566" s="6" t="str">
        <x:v>Fe N S 8,5 3 8 Фитоспорин -М - титр не менее 1*10^7 КОЕ/мл</x:v>
      </x:c>
      <x:c r="H566" s="6" t="str">
        <x:v>Есть сведения; см. ограничения</x:v>
      </x:c>
      <x:c r="I566" s="6" t="str">
        <x:v>Жидкость</x:v>
      </x:c>
      <x:c r="J566" s="12" t="n">
        <x:v>1</x:v>
      </x:c>
      <x:c r="K566" s="6" t="str">
        <x:v>См. коды и ограничения на листе «Сопоставления»</x:v>
      </x:c>
      <x:c r="L566" s="6"/>
      <x:c r="M566" s="13" t="str">
        <x:v>https://www.bashinkom.ru/products/avz/BiopolimikFe</x:v>
      </x:c>
      <x:c r="N566" s="13"/>
    </x:row>
    <x:row r="567" ht="68" customHeight="1">
      <x:c r="A567" s="9" t="str">
        <x:v>P0562</x:v>
      </x:c>
      <x:c r="B567" s="9" t="str">
        <x:v>БашИнком</x:v>
      </x:c>
      <x:c r="C567" s="9" t="str">
        <x:v>Биополимик -Mn</x:v>
      </x:c>
      <x:c r="D567" s="9" t="str">
        <x:v>Средство для растений/почвы</x:v>
      </x:c>
      <x:c r="E567" s="9" t="str">
        <x:v>Профессиональная линия</x:v>
      </x:c>
      <x:c r="F567" s="9" t="str">
        <x:v>—</x:v>
      </x:c>
      <x:c r="G567" s="9" t="str">
        <x:v>Mn N S 10 2 4 Mn- в хелатной форме Фитоспорин-М-титр не менее 1х10^7 КОЕ/мл</x:v>
      </x:c>
      <x:c r="H567" s="9" t="str">
        <x:v>Есть сведения; см. ограничения</x:v>
      </x:c>
      <x:c r="I567" s="9" t="str">
        <x:v>Жидкость</x:v>
      </x:c>
      <x:c r="J567" s="10" t="n">
        <x:v>1</x:v>
      </x:c>
      <x:c r="K567" s="9" t="str">
        <x:v>Близкий аналог не подтвержден</x:v>
      </x:c>
      <x:c r="L567" s="9"/>
      <x:c r="M567" s="11" t="str">
        <x:v>https://www.bashinkom.ru/products/avz/BiopolimikMn</x:v>
      </x:c>
      <x:c r="N567" s="11"/>
    </x:row>
    <x:row r="568" ht="68" customHeight="1">
      <x:c r="A568" s="6" t="str">
        <x:v>P0563</x:v>
      </x:c>
      <x:c r="B568" s="6" t="str">
        <x:v>БашИнком</x:v>
      </x:c>
      <x:c r="C568" s="6" t="str">
        <x:v>Биополимик Комплексный</x:v>
      </x:c>
      <x:c r="D568" s="6" t="str">
        <x:v>Средство для растений/почвы</x:v>
      </x:c>
      <x:c r="E568" s="6" t="str">
        <x:v>Профессиональная линия</x:v>
      </x:c>
      <x:c r="F568" s="6" t="str">
        <x:v>—</x:v>
      </x:c>
      <x:c r="G568" s="6" t="str">
        <x:v>8 микроэлементов в хелатной форме N S B Cu Zn Fe Mn Mo Co Mg 1 3 0,2 0,6 1,2 0,45 1 0,4 0,1 1 Cu, Zn, Fe, Mn, Co – в хелатной форме. Фитоспорин-М – титр не менее 1х10^7 КОЕ/мл</x:v>
      </x:c>
      <x:c r="H568" s="6" t="str">
        <x:v>Есть сведения; см. ограничения</x:v>
      </x:c>
      <x:c r="I568" s="6" t="str">
        <x:v>Жидкость</x:v>
      </x:c>
      <x:c r="J568" s="12" t="n">
        <x:v>1</x:v>
      </x:c>
      <x:c r="K568" s="6" t="str">
        <x:v>Близкий аналог не подтвержден</x:v>
      </x:c>
      <x:c r="L568" s="6"/>
      <x:c r="M568" s="13" t="str">
        <x:v>https://www.bashinkom.ru/products/avz/BiopolimikKompleksnyy</x:v>
      </x:c>
      <x:c r="N568" s="13"/>
    </x:row>
    <x:row r="569" ht="68" customHeight="1">
      <x:c r="A569" s="9" t="str">
        <x:v>P0564</x:v>
      </x:c>
      <x:c r="B569" s="9" t="str">
        <x:v>БашИнком</x:v>
      </x:c>
      <x:c r="C569" s="9" t="str">
        <x:v>Биополимик Комплексный</x:v>
      </x:c>
      <x:c r="D569" s="9" t="str">
        <x:v>Средство для растений/почвы</x:v>
      </x:c>
      <x:c r="E569" s="9" t="str">
        <x:v>Профессиональная линия</x:v>
      </x:c>
      <x:c r="F569" s="9" t="str">
        <x:v>—</x:v>
      </x:c>
      <x:c r="G569" s="9" t="str">
        <x:v>Макро- и мезоэлементы: N – 1 %, S – 3 %, микроэлементный комплекс, не менее: Mg-0,23 %, Fe- 0,45 %, Cu – 0,6 %, Zn-0,4 %, В – 0,2 %, Mn- 2 %, Mo-0,4 %, Co – 0,1 %, в том числе в хелатной форме Mg, Fe, Cu, Zn, Mn, Co</x:v>
      </x:c>
      <x:c r="H569" s="9" t="str">
        <x:v>Есть сведения; см. ограничения</x:v>
      </x:c>
      <x:c r="I569" s="9" t="str">
        <x:v>Жидкость</x:v>
      </x:c>
      <x:c r="J569" s="10" t="n">
        <x:v>1</x:v>
      </x:c>
      <x:c r="K569" s="9" t="str">
        <x:v>Близкий аналог не подтвержден</x:v>
      </x:c>
      <x:c r="L569" s="9"/>
      <x:c r="M569" s="11" t="str">
        <x:v>https://www.bashinkom.ru/products/prodecor/MikroelementnoeudobrenieBiopolimikkompleksnyy</x:v>
      </x:c>
      <x:c r="N569" s="11"/>
    </x:row>
    <x:row r="570" ht="68" customHeight="1">
      <x:c r="A570" s="6" t="str">
        <x:v>P0565</x:v>
      </x:c>
      <x:c r="B570" s="6" t="str">
        <x:v>БашИнком</x:v>
      </x:c>
      <x:c r="C570" s="6" t="str">
        <x:v>Биополимик-Zn</x:v>
      </x:c>
      <x:c r="D570" s="6" t="str">
        <x:v>Средство для растений/почвы</x:v>
      </x:c>
      <x:c r="E570" s="6" t="str">
        <x:v>Профессиональная линия</x:v>
      </x:c>
      <x:c r="F570" s="6" t="str">
        <x:v>G21</x:v>
      </x:c>
      <x:c r="G570" s="6" t="str">
        <x:v>Zn S 3 1,5</x:v>
      </x:c>
      <x:c r="H570" s="6" t="str">
        <x:v>Есть сведения; см. ограничения</x:v>
      </x:c>
      <x:c r="I570" s="6" t="str">
        <x:v>Жидкость</x:v>
      </x:c>
      <x:c r="J570" s="12" t="n">
        <x:v>1</x:v>
      </x:c>
      <x:c r="K570" s="6" t="str">
        <x:v>См. коды и ограничения на листе «Сопоставления»</x:v>
      </x:c>
      <x:c r="L570" s="6"/>
      <x:c r="M570" s="13" t="str">
        <x:v>https://www.bashinkom.ru/products/avz/BIOPOLIMIKZn</x:v>
      </x:c>
      <x:c r="N570" s="13"/>
    </x:row>
    <x:row r="571" ht="68" customHeight="1">
      <x:c r="A571" s="9" t="str">
        <x:v>P0566</x:v>
      </x:c>
      <x:c r="B571" s="9" t="str">
        <x:v>БашИнком</x:v>
      </x:c>
      <x:c r="C571" s="9" t="str">
        <x:v>Биополимик-Йод</x:v>
      </x:c>
      <x:c r="D571" s="9" t="str">
        <x:v>Средство для растений/почвы</x:v>
      </x:c>
      <x:c r="E571" s="9" t="str">
        <x:v>Профессиональная линия</x:v>
      </x:c>
      <x:c r="F571" s="9" t="str">
        <x:v>—</x:v>
      </x:c>
      <x:c r="G571" s="9" t="str">
        <x:v>Состав (г/л) I 50</x:v>
      </x:c>
      <x:c r="H571" s="9" t="str">
        <x:v>Есть сведения; см. ограничения</x:v>
      </x:c>
      <x:c r="I571" s="9" t="str">
        <x:v>Жидкость</x:v>
      </x:c>
      <x:c r="J571" s="10" t="n">
        <x:v>1</x:v>
      </x:c>
      <x:c r="K571" s="9" t="str">
        <x:v>Близкий аналог не подтвержден</x:v>
      </x:c>
      <x:c r="L571" s="9"/>
      <x:c r="M571" s="11" t="str">
        <x:v>https://www.bashinkom.ru/products/avz/BiopolimikYod</x:v>
      </x:c>
      <x:c r="N571" s="11"/>
    </x:row>
    <x:row r="572" ht="68" customHeight="1">
      <x:c r="A572" s="6" t="str">
        <x:v>P0567</x:v>
      </x:c>
      <x:c r="B572" s="6" t="str">
        <x:v>БашИнком</x:v>
      </x:c>
      <x:c r="C572" s="6" t="str">
        <x:v>Биоприлипатель Биолипостим</x:v>
      </x:c>
      <x:c r="D572" s="6" t="str">
        <x:v>Средство для растений/почвы</x:v>
      </x:c>
      <x:c r="E572" s="6" t="str">
        <x:v>Розничный каталог</x:v>
      </x:c>
      <x:c r="F572" s="6" t="str">
        <x:v>G29</x:v>
      </x:c>
      <x:c r="G572" s="6" t="str">
        <x:v>Природные полисахариды растительного и микробиологического происхождения</x:v>
      </x:c>
      <x:c r="H572" s="6" t="str">
        <x:v>Есть сведения; см. ограничения</x:v>
      </x:c>
      <x:c r="I572" s="6" t="str">
        <x:v>Жидкость</x:v>
      </x:c>
      <x:c r="J572" s="12" t="n">
        <x:v>1</x:v>
      </x:c>
      <x:c r="K572" s="6" t="str">
        <x:v>См. коды и ограничения на листе «Сопоставления»</x:v>
      </x:c>
      <x:c r="L572" s="6"/>
      <x:c r="M572" s="13" t="str">
        <x:v>https://www.bashinkom.ru/products/ojz/BioprilipatelBiolipostim</x:v>
      </x:c>
      <x:c r="N572" s="13"/>
    </x:row>
    <x:row r="573" ht="68" customHeight="1">
      <x:c r="A573" s="9" t="str">
        <x:v>P0568</x:v>
      </x:c>
      <x:c r="B573" s="9" t="str">
        <x:v>БашИнком</x:v>
      </x:c>
      <x:c r="C573" s="9" t="str">
        <x:v>БиоПрилипатель Биолипостим</x:v>
      </x:c>
      <x:c r="D573" s="9" t="str">
        <x:v>Средство для растений/почвы</x:v>
      </x:c>
      <x:c r="E573" s="9" t="str">
        <x:v>Профессиональная линия</x:v>
      </x:c>
      <x:c r="F573" s="9" t="str">
        <x:v>G29</x:v>
      </x:c>
      <x:c r="G573" s="9" t="str">
        <x:v>Водный раствор липкогенной композиции полисахаридов растительного и микробиологического происхождения.</x:v>
      </x:c>
      <x:c r="H573" s="9" t="str">
        <x:v>Есть сведения; см. ограничения</x:v>
      </x:c>
      <x:c r="I573" s="9" t="str">
        <x:v>Жидкость</x:v>
      </x:c>
      <x:c r="J573" s="10" t="n">
        <x:v>1</x:v>
      </x:c>
      <x:c r="K573" s="9" t="str">
        <x:v>См. коды и ограничения на листе «Сопоставления»</x:v>
      </x:c>
      <x:c r="L573" s="9"/>
      <x:c r="M573" s="11" t="str">
        <x:v>https://www.bashinkom.ru/products/prodecor/BioPrilipatelBiolipostim-prodecor</x:v>
      </x:c>
      <x:c r="N573" s="11"/>
    </x:row>
    <x:row r="574" ht="68" customHeight="1">
      <x:c r="A574" s="6" t="str">
        <x:v>P0569</x:v>
      </x:c>
      <x:c r="B574" s="6" t="str">
        <x:v>БашИнком</x:v>
      </x:c>
      <x:c r="C574" s="6" t="str">
        <x:v>Биофунгицид Фитоспорин-АС (паста)</x:v>
      </x:c>
      <x:c r="D574" s="6" t="str">
        <x:v>Средство для растений/почвы</x:v>
      </x:c>
      <x:c r="E574" s="6" t="str">
        <x:v>Розничный каталог</x:v>
      </x:c>
      <x:c r="F574" s="6" t="str">
        <x:v>G30</x:v>
      </x:c>
      <x:c r="G574" s="6" t="str">
        <x:v>Бактериальная споровая культура Bacillus subtilis 26Д, титр живых спор и клеток не менее 100 млн/г.,, 3 вида гриба-антагониста Trichoderma, гуминовые вещества.</x:v>
      </x:c>
      <x:c r="H574" s="6" t="str">
        <x:v>Есть сведения; см. ограничения</x:v>
      </x:c>
      <x:c r="I574" s="6" t="str">
        <x:v>Паста</x:v>
      </x:c>
      <x:c r="J574" s="12" t="n">
        <x:v>1</x:v>
      </x:c>
      <x:c r="K574" s="6" t="str">
        <x:v>См. коды и ограничения на листе «Сопоставления»</x:v>
      </x:c>
      <x:c r="L574" s="6"/>
      <x:c r="M574" s="13" t="str">
        <x:v>https://www.bashinkom.ru/products/ojz/BiofungitsidFitosporinASpasta50g</x:v>
      </x:c>
      <x:c r="N574" s="13"/>
    </x:row>
    <x:row r="575" ht="68" customHeight="1">
      <x:c r="A575" s="9" t="str">
        <x:v>P0570</x:v>
      </x:c>
      <x:c r="B575" s="9" t="str">
        <x:v>БашИнком</x:v>
      </x:c>
      <x:c r="C575" s="9" t="str">
        <x:v>Бияк АминоХит</x:v>
      </x:c>
      <x:c r="D575" s="9" t="str">
        <x:v>Средство для растений/почвы</x:v>
      </x:c>
      <x:c r="E575" s="9" t="str">
        <x:v>Профессиональная линия</x:v>
      </x:c>
      <x:c r="F575" s="9" t="str">
        <x:v>G01; G41</x:v>
      </x:c>
      <x:c r="G575" s="9" t="str">
        <x:v>Концентрат аминокислот хитозана сукцинат, биоразлагаемая иминодиянтарная кислота(БИЯК)</x:v>
      </x:c>
      <x:c r="H575" s="9" t="str">
        <x:v>Есть сведения; см. ограничения</x:v>
      </x:c>
      <x:c r="I575" s="9" t="str">
        <x:v>порошок</x:v>
      </x:c>
      <x:c r="J575" s="10" t="n">
        <x:v>1</x:v>
      </x:c>
      <x:c r="K575" s="9" t="str">
        <x:v>См. коды и ограничения на листе «Сопоставления»</x:v>
      </x:c>
      <x:c r="L575" s="9"/>
      <x:c r="M575" s="11" t="str">
        <x:v>https://www.bashinkom.ru/products/avz/BiyakAminoKHit</x:v>
      </x:c>
      <x:c r="N575" s="11"/>
    </x:row>
    <x:row r="576" ht="68" customHeight="1">
      <x:c r="A576" s="6" t="str">
        <x:v>P0571</x:v>
      </x:c>
      <x:c r="B576" s="6" t="str">
        <x:v>БашИнком</x:v>
      </x:c>
      <x:c r="C576" s="6" t="str">
        <x:v>Боверикс</x:v>
      </x:c>
      <x:c r="D576" s="6" t="str">
        <x:v>Средство для растений/почвы</x:v>
      </x:c>
      <x:c r="E576" s="6" t="str">
        <x:v>Профессиональная линия</x:v>
      </x:c>
      <x:c r="F576" s="6" t="str">
        <x:v>G16</x:v>
      </x:c>
      <x:c r="G576" s="6" t="str">
        <x:v>Споры и мицелий гриба Beauveria bassiana, штамм ВКПМ F–1357, титр не менее 10⁸ КОЕ/мл.</x:v>
      </x:c>
      <x:c r="H576" s="6" t="str">
        <x:v>Есть сведения; см. ограничения</x:v>
      </x:c>
      <x:c r="I576" s="6" t="str">
        <x:v>жидкость</x:v>
      </x:c>
      <x:c r="J576" s="12" t="n">
        <x:v>1</x:v>
      </x:c>
      <x:c r="K576" s="6" t="str">
        <x:v>См. коды и ограничения на листе «Сопоставления»</x:v>
      </x:c>
      <x:c r="L576" s="6"/>
      <x:c r="M576" s="13" t="str">
        <x:v>https://www.bashinkom.ru/products/prodecor/BoveriksZH-prodecor</x:v>
      </x:c>
      <x:c r="N576" s="13"/>
    </x:row>
    <x:row r="577" ht="68" customHeight="1">
      <x:c r="A577" s="9" t="str">
        <x:v>P0572</x:v>
      </x:c>
      <x:c r="B577" s="9" t="str">
        <x:v>БашИнком</x:v>
      </x:c>
      <x:c r="C577" s="9" t="str">
        <x:v>Боверикс, Ж</x:v>
      </x:c>
      <x:c r="D577" s="9" t="str">
        <x:v>Средство для растений/почвы</x:v>
      </x:c>
      <x:c r="E577" s="9" t="str">
        <x:v>Розничный каталог</x:v>
      </x:c>
      <x:c r="F577" s="9" t="str">
        <x:v>G16</x:v>
      </x:c>
      <x:c r="G577" s="9" t="str">
        <x:v>Состав: споры гриба Beauveria bassiana, штамм ВКПМ F-1357, титр не менее 100 млн. КОЕ/мл</x:v>
      </x:c>
      <x:c r="H577" s="9" t="str">
        <x:v>Есть сведения; см. ограничения</x:v>
      </x:c>
      <x:c r="I577" s="9" t="str">
        <x:v>Жидкость, 500 мл, 200 мл</x:v>
      </x:c>
      <x:c r="J577" s="10" t="n">
        <x:v>1</x:v>
      </x:c>
      <x:c r="K577" s="9" t="str">
        <x:v>См. коды и ограничения на листе «Сопоставления»</x:v>
      </x:c>
      <x:c r="L577" s="9"/>
      <x:c r="M577" s="11" t="str">
        <x:v>https://www.bashinkom.ru/products/ojz/BoveriksZH500ml200ml</x:v>
      </x:c>
      <x:c r="N577" s="11"/>
    </x:row>
    <x:row r="578" ht="110" customHeight="1">
      <x:c r="A578" s="6" t="str">
        <x:v>P0573</x:v>
      </x:c>
      <x:c r="B578" s="6" t="str">
        <x:v>БашИнком</x:v>
      </x:c>
      <x:c r="C578" s="6" t="str">
        <x:v>Богатый NPK 5:6:9 Калийный+МЭ</x:v>
      </x:c>
      <x:c r="D578" s="6" t="str">
        <x:v>Средство для растений/почвы</x:v>
      </x:c>
      <x:c r="E578" s="6" t="str">
        <x:v>Профессиональная линия</x:v>
      </x:c>
      <x:c r="F578" s="6" t="str">
        <x:v>G35</x:v>
      </x:c>
      <x:c r="G578" s="6" t="str">
        <x:v>Биоактивированные по молекулярному весу: Калиевые соли БМВ-гуминовых кислот, Биофунгицид Фитоспорин-М,Ж (титр не менее 2×10 6 живых клеток и спор на 1 мл) Макро и мезоэлементы в гр/л N P 2 O 5 K 2 O S 50 60 90 0.4 B Cu Zn Mn Co Mo Ni Li Se Cr 7 0,1 0,1 0,5 0,02 0,07 0,02 0,005 0,002 0.001 Микроэлементы: B, Cu,Zn, Mn, Co, Mo, Ni, Li, Se. Cr в хелатной форме</x:v>
      </x:c>
      <x:c r="H578" s="6" t="str">
        <x:v>Есть сведения; см. ограничения</x:v>
      </x:c>
      <x:c r="I578" s="6" t="str">
        <x:v>Жидкость</x:v>
      </x:c>
      <x:c r="J578" s="12" t="n">
        <x:v>1</x:v>
      </x:c>
      <x:c r="K578" s="6" t="str">
        <x:v>См. коды и ограничения на листе «Сопоставления»</x:v>
      </x:c>
      <x:c r="L578" s="6"/>
      <x:c r="M578" s="13" t="str">
        <x:v>https://www.bashinkom.ru/products/avz/BogatyyNPK569KaliynyyME</x:v>
      </x:c>
      <x:c r="N578" s="13"/>
    </x:row>
    <x:row r="579" ht="110" customHeight="1">
      <x:c r="A579" s="9" t="str">
        <x:v>P0574</x:v>
      </x:c>
      <x:c r="B579" s="9" t="str">
        <x:v>БашИнком</x:v>
      </x:c>
      <x:c r="C579" s="9" t="str">
        <x:v>Богатый NPK 8:3:11 Калийный+МЭ</x:v>
      </x:c>
      <x:c r="D579" s="9" t="str">
        <x:v>Средство для растений/почвы</x:v>
      </x:c>
      <x:c r="E579" s="9" t="str">
        <x:v>Профессиональная линия</x:v>
      </x:c>
      <x:c r="F579" s="9" t="str">
        <x:v>G35</x:v>
      </x:c>
      <x:c r="G579" s="9" t="str">
        <x:v>Биоактивированные по молекулярному весу БМВ-гуматы калия Биофунгицид Фитоспорин-М,Ж – титр не менее 1х10 6 живых клеток и спор на 1 мл макро и мезоэлемененты в гр/л N P 2 O 5 K 2 O S 80 30 110 0,4 B Cu Zn Mn Co Mo Ni Li Se Cr 5 0,1 0,1 0,5 0,02 0,05 0,02 0,005 0,002 0,006 Микроэлементы Cu, Zn, Mn, Co, Ni, Li, Cr- в хелатной форме</x:v>
      </x:c>
      <x:c r="H579" s="9" t="str">
        <x:v>Есть сведения; см. ограничения</x:v>
      </x:c>
      <x:c r="I579" s="9" t="str">
        <x:v>Жидкость</x:v>
      </x:c>
      <x:c r="J579" s="10" t="n">
        <x:v>1</x:v>
      </x:c>
      <x:c r="K579" s="9" t="str">
        <x:v>См. коды и ограничения на листе «Сопоставления»</x:v>
      </x:c>
      <x:c r="L579" s="9"/>
      <x:c r="M579" s="11" t="str">
        <x:v>https://www.bashinkom.ru/products/avz/BogatyyNPK848KaliynyyME</x:v>
      </x:c>
      <x:c r="N579" s="11"/>
    </x:row>
    <x:row r="580" ht="82" customHeight="1">
      <x:c r="A580" s="6" t="str">
        <x:v>P0575</x:v>
      </x:c>
      <x:c r="B580" s="6" t="str">
        <x:v>БашИнком</x:v>
      </x:c>
      <x:c r="C580" s="6" t="str">
        <x:v>Богатый Газон-Цветы</x:v>
      </x:c>
      <x:c r="D580" s="6" t="str">
        <x:v>Средство для растений/почвы</x:v>
      </x:c>
      <x:c r="E580" s="6" t="str">
        <x:v>Розничный каталог</x:v>
      </x:c>
      <x:c r="F580" s="6" t="str">
        <x:v>C10; C17</x:v>
      </x:c>
      <x:c r="G580" s="6" t="str">
        <x:v>Гуми-20 – 10%, Фитоспорин-М – 1%, макроэлементы и микроэлементы природного происхождения, в том числе в хелатной форме. Содержит азот – 2,0%, фосфор – 2,0%, калий – 3,0%; микроэлементы в биологической хелатной форме – Сo, Mn, Zn, Cu; Ni; Cr; в минеральной форме: B, Mo, S.</x:v>
      </x:c>
      <x:c r="H580" s="6" t="str">
        <x:v>Есть сведения; см. ограничения</x:v>
      </x:c>
      <x:c r="I580" s="6" t="str">
        <x:v>Жидкость</x:v>
      </x:c>
      <x:c r="J580" s="12" t="n">
        <x:v>1</x:v>
      </x:c>
      <x:c r="K580" s="6" t="str">
        <x:v>См. коды и ограничения на листе «Сопоставления»</x:v>
      </x:c>
      <x:c r="L580" s="6"/>
      <x:c r="M580" s="13" t="str">
        <x:v>https://www.bashinkom.ru/products/ojz/BOGATYYGazonTSvety05l</x:v>
      </x:c>
      <x:c r="N580" s="13"/>
    </x:row>
    <x:row r="581" ht="82" customHeight="1">
      <x:c r="A581" s="9" t="str">
        <x:v>P0576</x:v>
      </x:c>
      <x:c r="B581" s="9" t="str">
        <x:v>БашИнком</x:v>
      </x:c>
      <x:c r="C581" s="9" t="str">
        <x:v>Богатый Гортензия – жидкое комплексное биоактивированное удобрение</x:v>
      </x:c>
      <x:c r="D581" s="9" t="str">
        <x:v>Средство для растений/почвы</x:v>
      </x:c>
      <x:c r="E581" s="9" t="str">
        <x:v>Розничный каталог</x:v>
      </x:c>
      <x:c r="F581" s="9" t="str">
        <x:v>C07</x:v>
      </x:c>
      <x:c r="G581" s="9" t="str">
        <x:v>Полный набор макроэлементов: азот – 7%, фосфор – 2,8%, калий – 4,7%, сера – 0,28% и микроэлементов, в том числе в хелатной форме: B – 0,2%, Fe – 0,02%, Mg – 0,19%, Mn – 0,01%, Zn – 0,01%, янтарная кислота, Фитоспорин, Гуми.</x:v>
      </x:c>
      <x:c r="H581" s="9" t="str">
        <x:v>Есть сведения; см. ограничения</x:v>
      </x:c>
      <x:c r="I581" s="9" t="str">
        <x:v>Жидкость</x:v>
      </x:c>
      <x:c r="J581" s="10" t="n">
        <x:v>1</x:v>
      </x:c>
      <x:c r="K581" s="9" t="str">
        <x:v>См. коды и ограничения на листе «Сопоставления»</x:v>
      </x:c>
      <x:c r="L581" s="9"/>
      <x:c r="M581" s="11" t="str">
        <x:v>https://www.bashinkom.ru/products/ojz/BogatyyGortenziyarododendronazaliyakameliya</x:v>
      </x:c>
      <x:c r="N581" s="11"/>
    </x:row>
    <x:row r="582" ht="96" customHeight="1">
      <x:c r="A582" s="6" t="str">
        <x:v>P0577</x:v>
      </x:c>
      <x:c r="B582" s="6" t="str">
        <x:v>БашИнком</x:v>
      </x:c>
      <x:c r="C582" s="6" t="str">
        <x:v>БОГАТЫЙ Овощи, Ягоды, Зелень - жидкое комплексное биоактивированое удобрение</x:v>
      </x:c>
      <x:c r="D582" s="6" t="str">
        <x:v>Средство для растений/почвы</x:v>
      </x:c>
      <x:c r="E582" s="6" t="str">
        <x:v>Розничный каталог</x:v>
      </x:c>
      <x:c r="F582" s="6" t="str">
        <x:v>C05; C25</x:v>
      </x:c>
      <x:c r="G582" s="6" t="str">
        <x:v>Гуми-20 – 5%, Фитоспорин-М – 2%, макроэлементы и микроэлементы природного происхождения, в том числе в хелатной форме. Содержит азот – 2,0%, фосфор – 2,0%, калий – 3,0%; микроэлементы в биологической хелатной форме – Сo, Mn, Zn, Cu; Ni; Cr; в минеральной форме: B; Mo; Li; S; Se.</x:v>
      </x:c>
      <x:c r="H582" s="6" t="str">
        <x:v>Есть сведения; см. ограничения</x:v>
      </x:c>
      <x:c r="I582" s="6" t="str">
        <x:v>Жидкость</x:v>
      </x:c>
      <x:c r="J582" s="12" t="n">
        <x:v>1</x:v>
      </x:c>
      <x:c r="K582" s="6" t="str">
        <x:v>См. коды и ограничения на листе «Сопоставления»</x:v>
      </x:c>
      <x:c r="L582" s="6"/>
      <x:c r="M582" s="13" t="str">
        <x:v>https://www.bashinkom.ru/products/ojz/BOGATYYOvoshchiYAgodyZelenzhidkoekompleksnoebioaktivirovanoeudobrenie05l</x:v>
      </x:c>
      <x:c r="N582" s="13"/>
    </x:row>
    <x:row r="583" ht="82" customHeight="1">
      <x:c r="A583" s="9" t="str">
        <x:v>P0578</x:v>
      </x:c>
      <x:c r="B583" s="9" t="str">
        <x:v>БашИнком</x:v>
      </x:c>
      <x:c r="C583" s="9" t="str">
        <x:v>Богатый Орхидея</x:v>
      </x:c>
      <x:c r="D583" s="9" t="str">
        <x:v>Средство для растений/почвы</x:v>
      </x:c>
      <x:c r="E583" s="9" t="str">
        <x:v>Розничный каталог</x:v>
      </x:c>
      <x:c r="F583" s="9" t="str">
        <x:v>C12</x:v>
      </x:c>
      <x:c r="G583" s="9" t="str">
        <x:v>Содержит полный набор макро- и микроэлементов в доступной форме: азот –2,3%, фосфор-2,8%, калий -3,4 %, сера -0,02%; микроэлементы, в том числе, в хелатной форме: В - 0,01%, Mn - 0,01%, Cu - 0,02%, Zn - 0,01%; янтарную кислоту - 0,05%, Гуми. Без хлора.</x:v>
      </x:c>
      <x:c r="H583" s="9" t="str">
        <x:v>Есть сведения; см. ограничения</x:v>
      </x:c>
      <x:c r="I583" s="9" t="str">
        <x:v>Жидкость</x:v>
      </x:c>
      <x:c r="J583" s="10" t="n">
        <x:v>1</x:v>
      </x:c>
      <x:c r="K583" s="9" t="str">
        <x:v>См. коды и ограничения на листе «Сопоставления»</x:v>
      </x:c>
      <x:c r="L583" s="9"/>
      <x:c r="M583" s="11" t="str">
        <x:v>https://www.bashinkom.ru/products/ojz/BogatyyOrkhideya01l</x:v>
      </x:c>
      <x:c r="N583" s="11"/>
    </x:row>
    <x:row r="584" ht="124" customHeight="1">
      <x:c r="A584" s="6" t="str">
        <x:v>P0579</x:v>
      </x:c>
      <x:c r="B584" s="6" t="str">
        <x:v>БашИнком</x:v>
      </x:c>
      <x:c r="C584" s="6" t="str">
        <x:v>БОГАТЫЙ–ДОМ – комплексное, биоактивированное удобрение</x:v>
      </x:c>
      <x:c r="D584" s="6" t="str">
        <x:v>Средство для растений/почвы</x:v>
      </x:c>
      <x:c r="E584" s="6" t="str">
        <x:v>Розничный каталог</x:v>
      </x:c>
      <x:c r="F584" s="6" t="str">
        <x:v>C11</x:v>
      </x:c>
      <x:c r="G584" s="6" t="str">
        <x:v>Макроэлементы: азот – 0,5%, фосфор – 0,5%, калий – 0,5%; Микроэлементы в биологической хелатной форме: Сo – 0,0002%, Mn – 0,01%, Zn – 0,001%, Cu – 0,001%; Ni – 0,0002%; Cr – 0,0001%, а также в минеральной форме: B – 0,05%, Mo – 0,0003%; Li – 0,0004%; Se – 0,00001%; S – 0,0008%; Натуральный витамин роста и устойчивости от стрессов Гуми–20 – 2,5%; природный биопрепарат Фитоспорин – М, Ж - 0,5 %, профилактически защищающий от… (сокращено)</x:v>
      </x:c>
      <x:c r="H584" s="6" t="str">
        <x:v>Есть сведения; см. ограничения</x:v>
      </x:c>
      <x:c r="I584" s="6" t="str">
        <x:v>Жидкость</x:v>
      </x:c>
      <x:c r="J584" s="12" t="n">
        <x:v>1</x:v>
      </x:c>
      <x:c r="K584" s="6" t="str">
        <x:v>См. коды и ограничения на листе «Сопоставления»</x:v>
      </x:c>
      <x:c r="L584" s="6"/>
      <x:c r="M584" s="13" t="str">
        <x:v>https://www.bashinkom.ru/products/ojz/BOGATYYDOMkompleksnoebioaktivirovannoeudobrenie02l</x:v>
      </x:c>
      <x:c r="N584" s="13"/>
    </x:row>
    <x:row r="585" ht="68" customHeight="1">
      <x:c r="A585" s="9" t="str">
        <x:v>P0580</x:v>
      </x:c>
      <x:c r="B585" s="9" t="str">
        <x:v>БашИнком</x:v>
      </x:c>
      <x:c r="C585" s="9" t="str">
        <x:v>Богатый–Микро Железо (Fe) 2% + микроэлементы</x:v>
      </x:c>
      <x:c r="D585" s="9" t="str">
        <x:v>Средство для растений/почвы</x:v>
      </x:c>
      <x:c r="E585" s="9" t="str">
        <x:v>Розничный каталог</x:v>
      </x:c>
      <x:c r="F585" s="9" t="str">
        <x:v>G19</x:v>
      </x:c>
      <x:c r="G585" s="9" t="str">
        <x:v>Fe–2%, Cu–0,006%, B–0,0014%, Mn–0,018%, Zn–0,04%, Mg–0,0025%, Mo–0,004%, Co–0,0008% в хелатной (легкоусвояемой) форме.</x:v>
      </x:c>
      <x:c r="H585" s="9" t="str">
        <x:v>Есть сведения; см. ограничения</x:v>
      </x:c>
      <x:c r="I585" s="9" t="str">
        <x:v>Жидкость</x:v>
      </x:c>
      <x:c r="J585" s="10" t="n">
        <x:v>1</x:v>
      </x:c>
      <x:c r="K585" s="9" t="str">
        <x:v>См. коды и ограничения на листе «Сопоставления»</x:v>
      </x:c>
      <x:c r="L585" s="9"/>
      <x:c r="M585" s="11" t="str">
        <x:v>https://www.bashinkom.ru/products/ojz/BOGATYYMIKROZHelezoFe2mikroelementy100ml</x:v>
      </x:c>
      <x:c r="N585" s="11"/>
    </x:row>
    <x:row r="586" ht="68" customHeight="1">
      <x:c r="A586" s="6" t="str">
        <x:v>P0581</x:v>
      </x:c>
      <x:c r="B586" s="6" t="str">
        <x:v>БашИнком</x:v>
      </x:c>
      <x:c r="C586" s="6" t="str">
        <x:v>Богатый–Микро Йод (I) 0,5%</x:v>
      </x:c>
      <x:c r="D586" s="6" t="str">
        <x:v>Средство для растений/почвы</x:v>
      </x:c>
      <x:c r="E586" s="6" t="str">
        <x:v>Розничный каталог</x:v>
      </x:c>
      <x:c r="F586" s="6" t="str">
        <x:v>—</x:v>
      </x:c>
      <x:c r="G586" s="6" t="str">
        <x:v>Комплексное соединение йода (I – 0,5%).</x:v>
      </x:c>
      <x:c r="H586" s="6" t="str">
        <x:v>Есть сведения; см. ограничения</x:v>
      </x:c>
      <x:c r="I586" s="6" t="str">
        <x:v>Жидкость</x:v>
      </x:c>
      <x:c r="J586" s="12" t="n">
        <x:v>1</x:v>
      </x:c>
      <x:c r="K586" s="6" t="str">
        <x:v>Близкий аналог не подтвержден</x:v>
      </x:c>
      <x:c r="L586" s="6"/>
      <x:c r="M586" s="13" t="str">
        <x:v>https://www.bashinkom.ru/products/ojz/BOGATYYMIKROYodI05100ml</x:v>
      </x:c>
      <x:c r="N586" s="13"/>
    </x:row>
    <x:row r="587" ht="82" customHeight="1">
      <x:c r="A587" s="9" t="str">
        <x:v>P0582</x:v>
      </x:c>
      <x:c r="B587" s="9" t="str">
        <x:v>БашИнком</x:v>
      </x:c>
      <x:c r="C587" s="9" t="str">
        <x:v>Богатый-Микро Кальций 1%</x:v>
      </x:c>
      <x:c r="D587" s="9" t="str">
        <x:v>Средство для растений/почвы</x:v>
      </x:c>
      <x:c r="E587" s="9" t="str">
        <x:v>Розничный каталог</x:v>
      </x:c>
      <x:c r="F587" s="9" t="str">
        <x:v>G18</x:v>
      </x:c>
      <x:c r="G587" s="9" t="str">
        <x:v>Содержит полный набор макро- и микроэлементов в доступной хелатной форме: кальций - 1%, марганец - 0,018%, железо - 0,02%, цинк - 0,012%, медь - 0,004%, молибден -0,004%, магний - 0,0025%, кобальт - 0,001% в хелатной форме; азот - 0,9%, бор - 0,0014%.</x:v>
      </x:c>
      <x:c r="H587" s="9" t="str">
        <x:v>Есть сведения; см. ограничения</x:v>
      </x:c>
      <x:c r="I587" s="9" t="str">
        <x:v>Жидкость</x:v>
      </x:c>
      <x:c r="J587" s="10" t="n">
        <x:v>1</x:v>
      </x:c>
      <x:c r="K587" s="9" t="str">
        <x:v>См. коды и ограничения на листе «Сопоставления»</x:v>
      </x:c>
      <x:c r="L587" s="9"/>
      <x:c r="M587" s="11" t="str">
        <x:v>https://www.bashinkom.ru/products/ojz/BogatyyMikroKaltsiy1</x:v>
      </x:c>
      <x:c r="N587" s="11"/>
    </x:row>
    <x:row r="588" ht="68" customHeight="1">
      <x:c r="A588" s="6" t="str">
        <x:v>P0583</x:v>
      </x:c>
      <x:c r="B588" s="6" t="str">
        <x:v>БашИнком</x:v>
      </x:c>
      <x:c r="C588" s="6" t="str">
        <x:v>Богатый–Микро Комплексный 9 микроэлементов</x:v>
      </x:c>
      <x:c r="D588" s="6" t="str">
        <x:v>Средство для растений/почвы</x:v>
      </x:c>
      <x:c r="E588" s="6" t="str">
        <x:v>Розничный каталог</x:v>
      </x:c>
      <x:c r="F588" s="6" t="str">
        <x:v>—</x:v>
      </x:c>
      <x:c r="G588" s="6" t="str">
        <x:v>N–1,6%, Fe–0,4%, Cu–0,08 %, B–0,028%, Mn–0,36%, Zn–0,24%, Mg–0,05%, Mo–0,08%, Co–0,016% в хелатной (легкоусвояемой) форме.</x:v>
      </x:c>
      <x:c r="H588" s="6" t="str">
        <x:v>Есть сведения; см. ограничения</x:v>
      </x:c>
      <x:c r="I588" s="6" t="str">
        <x:v>Жидкость</x:v>
      </x:c>
      <x:c r="J588" s="12" t="n">
        <x:v>1</x:v>
      </x:c>
      <x:c r="K588" s="6" t="str">
        <x:v>Близкий аналог не подтвержден</x:v>
      </x:c>
      <x:c r="L588" s="6"/>
      <x:c r="M588" s="13" t="str">
        <x:v>https://www.bashinkom.ru/products/ojz/BOGATYYMIKROKompleksnyy9mikroelementov100ml</x:v>
      </x:c>
      <x:c r="N588" s="13"/>
    </x:row>
    <x:row r="589" ht="82" customHeight="1">
      <x:c r="A589" s="9" t="str">
        <x:v>P0584</x:v>
      </x:c>
      <x:c r="B589" s="9" t="str">
        <x:v>БашИнком</x:v>
      </x:c>
      <x:c r="C589" s="9" t="str">
        <x:v>Богатый-Микро Магний 1%</x:v>
      </x:c>
      <x:c r="D589" s="9" t="str">
        <x:v>Средство для растений/почвы</x:v>
      </x:c>
      <x:c r="E589" s="9" t="str">
        <x:v>Розничный каталог</x:v>
      </x:c>
      <x:c r="F589" s="9" t="str">
        <x:v>G20</x:v>
      </x:c>
      <x:c r="G589" s="9" t="str">
        <x:v>Содержит полный набор макро- и микроэлементов в доступной хелатной форме: магний - 1%, молибден - 0,004%, цинк - 0,012%, железо - 0,02%, медь - 0,004%, марганец -0,018%, кобальт - 0,001% в хелатной форме; азот - 0,09%, бор -0,0014%.</x:v>
      </x:c>
      <x:c r="H589" s="9" t="str">
        <x:v>Есть сведения; см. ограничения</x:v>
      </x:c>
      <x:c r="I589" s="9" t="str">
        <x:v>Жидкость</x:v>
      </x:c>
      <x:c r="J589" s="10" t="n">
        <x:v>1</x:v>
      </x:c>
      <x:c r="K589" s="9" t="str">
        <x:v>См. коды и ограничения на листе «Сопоставления»</x:v>
      </x:c>
      <x:c r="L589" s="9"/>
      <x:c r="M589" s="11" t="str">
        <x:v>https://www.bashinkom.ru/products/ojz/ZelyenoekhelatnoeudobrenieBogatyyMikroMagniy1</x:v>
      </x:c>
      <x:c r="N589" s="11"/>
    </x:row>
    <x:row r="590" ht="68" customHeight="1">
      <x:c r="A590" s="6" t="str">
        <x:v>P0585</x:v>
      </x:c>
      <x:c r="B590" s="6" t="str">
        <x:v>БашИнком</x:v>
      </x:c>
      <x:c r="C590" s="6" t="str">
        <x:v>Богатый–Микро Медь (Cu) 1% + микроэлементы</x:v>
      </x:c>
      <x:c r="D590" s="6" t="str">
        <x:v>Средство для растений/почвы</x:v>
      </x:c>
      <x:c r="E590" s="6" t="str">
        <x:v>Розничный каталог</x:v>
      </x:c>
      <x:c r="F590" s="6" t="str">
        <x:v>G21</x:v>
      </x:c>
      <x:c r="G590" s="6" t="str">
        <x:v>Cu–1%, Fe–0,02%, B–0,0014%, Mn–0,018%, Zn–0,0045%, Мg–0,0025%, Mo–0,004%, Co–0,0008% в хелатной (легкоусвояемой) форме.</x:v>
      </x:c>
      <x:c r="H590" s="6" t="str">
        <x:v>Есть сведения; см. ограничения</x:v>
      </x:c>
      <x:c r="I590" s="6" t="str">
        <x:v>Жидкость</x:v>
      </x:c>
      <x:c r="J590" s="12" t="n">
        <x:v>1</x:v>
      </x:c>
      <x:c r="K590" s="6" t="str">
        <x:v>См. коды и ограничения на листе «Сопоставления»</x:v>
      </x:c>
      <x:c r="L590" s="6"/>
      <x:c r="M590" s="13" t="str">
        <x:v>https://www.bashinkom.ru/products/ojz/BOGATYYMIKROMedCu1mikroelementy100ml</x:v>
      </x:c>
      <x:c r="N590" s="13"/>
    </x:row>
    <x:row r="591" ht="68" customHeight="1">
      <x:c r="A591" s="9" t="str">
        <x:v>P0586</x:v>
      </x:c>
      <x:c r="B591" s="9" t="str">
        <x:v>БашИнком</x:v>
      </x:c>
      <x:c r="C591" s="9" t="str">
        <x:v>Богатый–Микро Цинк (Zn) 1% – Медь (Cu) 1% + микроэлементы</x:v>
      </x:c>
      <x:c r="D591" s="9" t="str">
        <x:v>Средство для растений/почвы</x:v>
      </x:c>
      <x:c r="E591" s="9" t="str">
        <x:v>Розничный каталог</x:v>
      </x:c>
      <x:c r="F591" s="9" t="str">
        <x:v>G21</x:v>
      </x:c>
      <x:c r="G591" s="9" t="str">
        <x:v>Zn–1%, Cu–1%, Fe–0,02%, B–0,0014%, Mn–0,018%, Мg–0,0025%, Mo–0,004%, Co–0,0008% в хелатной (легкоусвояемой) форме.</x:v>
      </x:c>
      <x:c r="H591" s="9" t="str">
        <x:v>Есть сведения; см. ограничения</x:v>
      </x:c>
      <x:c r="I591" s="9" t="str">
        <x:v>Жидкость</x:v>
      </x:c>
      <x:c r="J591" s="10" t="n">
        <x:v>1</x:v>
      </x:c>
      <x:c r="K591" s="9" t="str">
        <x:v>См. коды и ограничения на листе «Сопоставления»</x:v>
      </x:c>
      <x:c r="L591" s="9"/>
      <x:c r="M591" s="11" t="str">
        <x:v>https://www.bashinkom.ru/products/ojz/BOGATYYMIKROTSinkZn1MedCu1mikroelementy100ml</x:v>
      </x:c>
      <x:c r="N591" s="11"/>
    </x:row>
    <x:row r="592" ht="82" customHeight="1">
      <x:c r="A592" s="6" t="str">
        <x:v>P0587</x:v>
      </x:c>
      <x:c r="B592" s="6" t="str">
        <x:v>БашИнком</x:v>
      </x:c>
      <x:c r="C592" s="6" t="str">
        <x:v>Борогум</x:v>
      </x:c>
      <x:c r="D592" s="6" t="str">
        <x:v>Средство для растений/почвы</x:v>
      </x:c>
      <x:c r="E592" s="6" t="str">
        <x:v>Профессиональная линия</x:v>
      </x:c>
      <x:c r="F592" s="6" t="str">
        <x:v>G38</x:v>
      </x:c>
      <x:c r="G592" s="6" t="str">
        <x:v>Натриевые соли биоактивированных по молекулярному весу гуминовых кислот 1,5 %. Микроэлементы гр/л B S Mn Cu Zn Mo Co Ni Li Se Cr 110 0,4 0,5 0,1 0,1 0,05 0,02 0,02 0,005 0,002 0,006 Cu, Zn, Mn, Co, Ni, Li, Cr – в хелатной форме</x:v>
      </x:c>
      <x:c r="H592" s="6" t="str">
        <x:v>Есть сведения; см. ограничения</x:v>
      </x:c>
      <x:c r="I592" s="6" t="str">
        <x:v>Жидкость</x:v>
      </x:c>
      <x:c r="J592" s="12" t="n">
        <x:v>1</x:v>
      </x:c>
      <x:c r="K592" s="6" t="str">
        <x:v>См. коды и ограничения на листе «Сопоставления»</x:v>
      </x:c>
      <x:c r="L592" s="6"/>
      <x:c r="M592" s="13" t="str">
        <x:v>https://www.bashinkom.ru/products/avz/BorogumB11ME</x:v>
      </x:c>
      <x:c r="N592" s="13"/>
    </x:row>
    <x:row r="593" ht="68" customHeight="1">
      <x:c r="A593" s="9" t="str">
        <x:v>P0588</x:v>
      </x:c>
      <x:c r="B593" s="9" t="str">
        <x:v>БашИнком</x:v>
      </x:c>
      <x:c r="C593" s="9" t="str">
        <x:v>Борогум Экстра марка Cu-Zn</x:v>
      </x:c>
      <x:c r="D593" s="9" t="str">
        <x:v>Средство для растений/почвы</x:v>
      </x:c>
      <x:c r="E593" s="9" t="str">
        <x:v>Профессиональная линия</x:v>
      </x:c>
      <x:c r="F593" s="9" t="str">
        <x:v>G21; G38</x:v>
      </x:c>
      <x:c r="G593" s="9" t="str">
        <x:v>Калийные соли БМВ-гуминовых кислот – 1%. Фитоспорин-М – титр не менее 5х10^7 КОЕ/мл B S Cu Zn Mn Mo Co Ni Li Se Cr 4 0,5 0,5 0,5 0,02 0,002 0,001 0,001 0,0002 0,00004 0,0002 Cu, Zn, Mn, Co, Ni, Li, Cr – в хелатной форме</x:v>
      </x:c>
      <x:c r="H593" s="9" t="str">
        <x:v>Есть сведения; см. ограничения</x:v>
      </x:c>
      <x:c r="I593" s="9" t="str">
        <x:v>Жидкость</x:v>
      </x:c>
      <x:c r="J593" s="10" t="n">
        <x:v>1</x:v>
      </x:c>
      <x:c r="K593" s="9" t="str">
        <x:v>См. коды и ограничения на листе «Сопоставления»</x:v>
      </x:c>
      <x:c r="L593" s="9"/>
      <x:c r="M593" s="11" t="str">
        <x:v>https://www.bashinkom.ru/products/avz/BorogumMMednoTSinkovyy</x:v>
      </x:c>
      <x:c r="N593" s="11"/>
    </x:row>
    <x:row r="594" ht="82" customHeight="1">
      <x:c r="A594" s="6" t="str">
        <x:v>P0589</x:v>
      </x:c>
      <x:c r="B594" s="6" t="str">
        <x:v>БашИнком</x:v>
      </x:c>
      <x:c r="C594" s="6" t="str">
        <x:v>Борогум Экстра марка Комплексный</x:v>
      </x:c>
      <x:c r="D594" s="6" t="str">
        <x:v>Средство для растений/почвы</x:v>
      </x:c>
      <x:c r="E594" s="6" t="str">
        <x:v>Профессиональная линия</x:v>
      </x:c>
      <x:c r="F594" s="6" t="str">
        <x:v>G38</x:v>
      </x:c>
      <x:c r="G594" s="6" t="str">
        <x:v>Калийные соли БМВ-гуминовых кислот – 1%. Фитоспорин-М – титр не менее 5х10^8 КОЕ/мл B S Fe Cu Zn Mn Mo Co Ni Li Se Cr 4 0,17 0,05 0,2 0,01 0,02 0,05 0,005 0,001 0,0002 0,0001 0,0002 Fe, Cu, Zn, Mn, Co. Ni, Li, Cr– в хелатной форме</x:v>
      </x:c>
      <x:c r="H594" s="6" t="str">
        <x:v>Есть сведения; см. ограничения</x:v>
      </x:c>
      <x:c r="I594" s="6" t="str">
        <x:v>Жидкость</x:v>
      </x:c>
      <x:c r="J594" s="12" t="n">
        <x:v>1</x:v>
      </x:c>
      <x:c r="K594" s="6" t="str">
        <x:v>См. коды и ограничения на листе «Сопоставления»</x:v>
      </x:c>
      <x:c r="L594" s="6"/>
      <x:c r="M594" s="13" t="str">
        <x:v>https://www.bashinkom.ru/products/avz/BorogumMKompleksnyy</x:v>
      </x:c>
      <x:c r="N594" s="13"/>
    </x:row>
    <x:row r="595" ht="68" customHeight="1">
      <x:c r="A595" s="9" t="str">
        <x:v>P0590</x:v>
      </x:c>
      <x:c r="B595" s="9" t="str">
        <x:v>БашИнком</x:v>
      </x:c>
      <x:c r="C595" s="9" t="str">
        <x:v>Борогум Экстра марка Мо</x:v>
      </x:c>
      <x:c r="D595" s="9" t="str">
        <x:v>Средство для растений/почвы</x:v>
      </x:c>
      <x:c r="E595" s="9" t="str">
        <x:v>Профессиональная линия</x:v>
      </x:c>
      <x:c r="F595" s="9" t="str">
        <x:v>G38</x:v>
      </x:c>
      <x:c r="G595" s="9" t="str">
        <x:v>Калийные соли БМВ-гуминовых кислот – 2%. Фитоспорин-М – титр не менее 5х10^6 КОЕ/мл B S Cu Zn Mn Mo Co Ni Li Se Cr 7 0,04 0,01 0,01 0,04 3 0,002 0,002 0,0004 0,0001 0,0005 Cu, Zn, Mn, Co. Ni, Li, Cr– в хелатной форме</x:v>
      </x:c>
      <x:c r="H595" s="9" t="str">
        <x:v>Есть сведения; см. ограничения</x:v>
      </x:c>
      <x:c r="I595" s="9" t="str">
        <x:v>Жидкость</x:v>
      </x:c>
      <x:c r="J595" s="10" t="n">
        <x:v>1</x:v>
      </x:c>
      <x:c r="K595" s="9" t="str">
        <x:v>См. коды и ограничения на листе «Сопоставления»</x:v>
      </x:c>
      <x:c r="L595" s="9"/>
      <x:c r="M595" s="11" t="str">
        <x:v>https://www.bashinkom.ru/products/avz/BorogumMMolibdenovyy</x:v>
      </x:c>
      <x:c r="N595" s="11"/>
    </x:row>
    <x:row r="596" ht="82" customHeight="1">
      <x:c r="A596" s="6" t="str">
        <x:v>P0591</x:v>
      </x:c>
      <x:c r="B596" s="6" t="str">
        <x:v>БашИнком</x:v>
      </x:c>
      <x:c r="C596" s="6" t="str">
        <x:v>Борогум Экстра марка Мо-Мn</x:v>
      </x:c>
      <x:c r="D596" s="6" t="str">
        <x:v>Средство для растений/почвы</x:v>
      </x:c>
      <x:c r="E596" s="6" t="str">
        <x:v>Профессиональная линия</x:v>
      </x:c>
      <x:c r="F596" s="6" t="str">
        <x:v>G38</x:v>
      </x:c>
      <x:c r="G596" s="6" t="str">
        <x:v>Калийные соли БМВ-гуминовых кислот – 1,5%. Фитоспорин-М – титр не менее 5х10^6 КОЕ/мл B S Cu Zn Mn Mo Co Ni Li Se Cr 7 0,045 0,01 0,01 1 1 0,002 0,002 0,0004 0,0001 0,0005 Микроэлементы Cu, Zn, Mn, Co, Ni, Li, Cr – в хелатной форме</x:v>
      </x:c>
      <x:c r="H596" s="6" t="str">
        <x:v>Есть сведения; см. ограничения</x:v>
      </x:c>
      <x:c r="I596" s="6" t="str">
        <x:v>Жидкость</x:v>
      </x:c>
      <x:c r="J596" s="12" t="n">
        <x:v>1</x:v>
      </x:c>
      <x:c r="K596" s="6" t="str">
        <x:v>См. коды и ограничения на листе «Сопоставления»</x:v>
      </x:c>
      <x:c r="L596" s="6"/>
      <x:c r="M596" s="13" t="str">
        <x:v>https://www.bashinkom.ru/products/avz/BorogumMMolibdenovoMargantsevyy</x:v>
      </x:c>
      <x:c r="N596" s="13"/>
    </x:row>
    <x:row r="597" ht="96" customHeight="1">
      <x:c r="A597" s="9" t="str">
        <x:v>P0592</x:v>
      </x:c>
      <x:c r="B597" s="9" t="str">
        <x:v>БашИнком</x:v>
      </x:c>
      <x:c r="C597" s="9" t="str">
        <x:v>Борогум-М</x:v>
      </x:c>
      <x:c r="D597" s="9" t="str">
        <x:v>Средство для растений/почвы</x:v>
      </x:c>
      <x:c r="E597" s="9" t="str">
        <x:v>Профессиональная линия</x:v>
      </x:c>
      <x:c r="F597" s="9" t="str">
        <x:v>G38</x:v>
      </x:c>
      <x:c r="G597" s="9" t="str">
        <x:v>Натриевые соли биоактивированных по молекулярному весу гуминовых кислот 1,5 % Биофунгицид Фитоспорин М,Ж (титр не менее 5×10^6 КОЕ/мл) Макро-мезо элементы гр/л N P 2 O 5 K 2 O S 35 45 10 0,4 B Cu Zn Mn Co Mo Ni Li Se Cr 70 0,1 0,1 0,5 0,02 0,05 0,02 0,005 0,002 0,006 Cu, Zn, Mn, Co, Ni, Li, Cr – в хелатной форме</x:v>
      </x:c>
      <x:c r="H597" s="9" t="str">
        <x:v>Есть сведения; см. ограничения</x:v>
      </x:c>
      <x:c r="I597" s="9" t="str">
        <x:v>Жидкость</x:v>
      </x:c>
      <x:c r="J597" s="10" t="n">
        <x:v>1</x:v>
      </x:c>
      <x:c r="K597" s="9" t="str">
        <x:v>См. коды и ограничения на листе «Сопоставления»</x:v>
      </x:c>
      <x:c r="L597" s="9"/>
      <x:c r="M597" s="11" t="str">
        <x:v>https://www.bashinkom.ru/products/avz/BorogumM354501ME</x:v>
      </x:c>
      <x:c r="N597" s="11"/>
    </x:row>
    <x:row r="598" ht="68" customHeight="1">
      <x:c r="A598" s="6" t="str">
        <x:v>P0593</x:v>
      </x:c>
      <x:c r="B598" s="6" t="str">
        <x:v>БашИнком</x:v>
      </x:c>
      <x:c r="C598" s="6" t="str">
        <x:v>Борогум–М Завязь</x:v>
      </x:c>
      <x:c r="D598" s="6" t="str">
        <x:v>Средство для растений/почвы</x:v>
      </x:c>
      <x:c r="E598" s="6" t="str">
        <x:v>Розничный каталог</x:v>
      </x:c>
      <x:c r="F598" s="6" t="str">
        <x:v>G38</x:v>
      </x:c>
      <x:c r="G598" s="6" t="str">
        <x:v>Бор – 1,4%, Гуми-20 – 3%, микроэлементы Mo, S, Cu, Co, Zn, Mn, Ni, Cr, Se, Li, азот, фосфор, калий.</x:v>
      </x:c>
      <x:c r="H598" s="6" t="str">
        <x:v>Есть сведения; см. ограничения</x:v>
      </x:c>
      <x:c r="I598" s="6" t="str">
        <x:v>Жидкость</x:v>
      </x:c>
      <x:c r="J598" s="12" t="n">
        <x:v>1</x:v>
      </x:c>
      <x:c r="K598" s="6" t="str">
        <x:v>См. коды и ограничения на листе «Сопоставления»</x:v>
      </x:c>
      <x:c r="L598" s="6"/>
      <x:c r="M598" s="13" t="str">
        <x:v>https://www.bashinkom.ru/products/ojz/BOROGUMMZavyazplodotsvetokorneobrazovanieotpustotsvetovBorGumiNPK11mikroelementov02l</x:v>
      </x:c>
      <x:c r="N598" s="13"/>
    </x:row>
    <x:row r="599" ht="82" customHeight="1">
      <x:c r="A599" s="9" t="str">
        <x:v>P0594</x:v>
      </x:c>
      <x:c r="B599" s="9" t="str">
        <x:v>БашИнком</x:v>
      </x:c>
      <x:c r="C599" s="9" t="str">
        <x:v>Вар Сад Пчелка – садовый вар, 100% натуральный</x:v>
      </x:c>
      <x:c r="D599" s="9" t="str">
        <x:v>Средство для растений/почвы</x:v>
      </x:c>
      <x:c r="E599" s="9" t="str">
        <x:v>Розничный каталог</x:v>
      </x:c>
      <x:c r="F599" s="9" t="str">
        <x:v>—</x:v>
      </x:c>
      <x:c r="G599" s="9" t="str">
        <x:v>Практически единственный на рынке 100% натуральный лечебный Садовый Вар. Лучший в мире Башкирский мед и лучший Вар Сад Пчелка Лечебный на основе пчелиного воска, хвойной смолы, пихтового и растительного масла, и лечебных дружественных защитных фитобактерий.</x:v>
      </x:c>
      <x:c r="H599" s="9" t="str">
        <x:v>Есть сведения; см. ограничения</x:v>
      </x:c>
      <x:c r="I599" s="9" t="str">
        <x:v>Паста</x:v>
      </x:c>
      <x:c r="J599" s="10" t="n">
        <x:v>1</x:v>
      </x:c>
      <x:c r="K599" s="9" t="str">
        <x:v>Близкий аналог не подтвержден</x:v>
      </x:c>
      <x:c r="L599" s="9"/>
      <x:c r="M599" s="11" t="str">
        <x:v>https://www.bashinkom.ru/products/ojz/VarSadPchelkasadovyyvar100naturalnyy100g</x:v>
      </x:c>
      <x:c r="N599" s="11"/>
    </x:row>
    <x:row r="600" ht="68" customHeight="1">
      <x:c r="A600" s="6" t="str">
        <x:v>P0595</x:v>
      </x:c>
      <x:c r="B600" s="6" t="str">
        <x:v>БашИнком</x:v>
      </x:c>
      <x:c r="C600" s="6" t="str">
        <x:v>Гуми + БТБ Картофель +</x:v>
      </x:c>
      <x:c r="D600" s="6" t="str">
        <x:v>Средство для растений/почвы</x:v>
      </x:c>
      <x:c r="E600" s="6" t="str">
        <x:v>Розничный каталог</x:v>
      </x:c>
      <x:c r="F600" s="6" t="str">
        <x:v>G15</x:v>
      </x:c>
      <x:c r="G600" s="6" t="str">
        <x:v>Битоксибациллин, П БА–1500 ЕА/мг, титр не менее 20 млрд. спор/г, гуматы Гуми.</x:v>
      </x:c>
      <x:c r="H600" s="6" t="str">
        <x:v>Есть сведения; см. ограничения</x:v>
      </x:c>
      <x:c r="I600" s="6" t="str">
        <x:v>Порошок</x:v>
      </x:c>
      <x:c r="J600" s="12" t="n">
        <x:v>1</x:v>
      </x:c>
      <x:c r="K600" s="6" t="str">
        <x:v>См. коды и ограничения на листе «Сопоставления»</x:v>
      </x:c>
      <x:c r="L600" s="6"/>
      <x:c r="M600" s="13" t="str">
        <x:v>https://www.bashinkom.ru/products/ojz/GumiBTBKARTOFELotkoloradskogozhukadvukhkomponentnyy6g100g</x:v>
      </x:c>
      <x:c r="N600" s="13"/>
    </x:row>
    <x:row r="601" ht="68" customHeight="1">
      <x:c r="A601" s="9" t="str">
        <x:v>P0596</x:v>
      </x:c>
      <x:c r="B601" s="9" t="str">
        <x:v>БашИнком</x:v>
      </x:c>
      <x:c r="C601" s="9" t="str">
        <x:v>Гуми – Оми Однолетние и Двулетние цветы</x:v>
      </x:c>
      <x:c r="D601" s="9" t="str">
        <x:v>Средство для растений/почвы</x:v>
      </x:c>
      <x:c r="E601" s="9" t="str">
        <x:v>Розничный каталог</x:v>
      </x:c>
      <x:c r="F601" s="9" t="str">
        <x:v>C17</x:v>
      </x:c>
      <x:c r="G601" s="9" t="str">
        <x:v>Компост на основе куриного помёта, N,P,K удобрения, микроэлементы B, Cu, удобрение Гуми.</x:v>
      </x:c>
      <x:c r="H601" s="9" t="str">
        <x:v>Есть сведения; см. ограничения</x:v>
      </x:c>
      <x:c r="I601" s="9" t="str">
        <x:v>Порошок</x:v>
      </x:c>
      <x:c r="J601" s="10" t="n">
        <x:v>1</x:v>
      </x:c>
      <x:c r="K601" s="9" t="str">
        <x:v>См. коды и ограничения на листе «Сопоставления»</x:v>
      </x:c>
      <x:c r="L601" s="9"/>
      <x:c r="M601" s="11" t="str">
        <x:v>https://www.bashinkom.ru/products/ojz/OdnoletnieiDvuletnietsvetyGumiOmi50g</x:v>
      </x:c>
      <x:c r="N601" s="11"/>
    </x:row>
    <x:row r="602" ht="68" customHeight="1">
      <x:c r="A602" s="6" t="str">
        <x:v>P0597</x:v>
      </x:c>
      <x:c r="B602" s="6" t="str">
        <x:v>БашИнком</x:v>
      </x:c>
      <x:c r="C602" s="6" t="str">
        <x:v>ГУМИ-20 Натриевый NPK 1:1,5:1</x:v>
      </x:c>
      <x:c r="D602" s="6" t="str">
        <x:v>Средство для растений/почвы</x:v>
      </x:c>
      <x:c r="E602" s="6" t="str">
        <x:v>Профессиональная линия</x:v>
      </x:c>
      <x:c r="F602" s="6" t="str">
        <x:v>G39</x:v>
      </x:c>
      <x:c r="G602" s="6" t="str">
        <x:v>Натриевые соли БМВ-гуминовых кислот Макро,микро элементы в гр/л N P 2 O 5 K 2 O B 10 15 10 1</x:v>
      </x:c>
      <x:c r="H602" s="6" t="str">
        <x:v>Есть сведения; см. ограничения</x:v>
      </x:c>
      <x:c r="I602" s="6" t="str">
        <x:v>Жидкость</x:v>
      </x:c>
      <x:c r="J602" s="12" t="n">
        <x:v>1</x:v>
      </x:c>
      <x:c r="K602" s="6" t="str">
        <x:v>См. коды и ограничения на листе «Сопоставления»</x:v>
      </x:c>
      <x:c r="L602" s="6"/>
      <x:c r="M602" s="13" t="str">
        <x:v>https://www.bashinkom.ru/products/avz/GUMI20NPK1151</x:v>
      </x:c>
      <x:c r="N602" s="13"/>
    </x:row>
    <x:row r="603" ht="68" customHeight="1">
      <x:c r="A603" s="9" t="str">
        <x:v>P0598</x:v>
      </x:c>
      <x:c r="B603" s="9" t="str">
        <x:v>БашИнком</x:v>
      </x:c>
      <x:c r="C603" s="9" t="str">
        <x:v>ГУМИ–20 Универсальный</x:v>
      </x:c>
      <x:c r="D603" s="9" t="str">
        <x:v>Средство для растений/почвы</x:v>
      </x:c>
      <x:c r="E603" s="9" t="str">
        <x:v>Розничный каталог</x:v>
      </x:c>
      <x:c r="F603" s="9" t="str">
        <x:v>G39</x:v>
      </x:c>
      <x:c r="G603" s="9" t="str">
        <x:v>Гуматы натрия не менее 60%, макроэлементы и микроэлементы природного происхождения.</x:v>
      </x:c>
      <x:c r="H603" s="9" t="str">
        <x:v>Есть сведения; см. ограничения</x:v>
      </x:c>
      <x:c r="I603" s="9" t="str">
        <x:v>Жидкость</x:v>
      </x:c>
      <x:c r="J603" s="10" t="n">
        <x:v>2</x:v>
      </x:c>
      <x:c r="K603" s="9" t="str">
        <x:v>См. коды и ограничения на листе «Сопоставления»</x:v>
      </x:c>
      <x:c r="L603" s="9"/>
      <x:c r="M603" s="11" t="str">
        <x:v>https://www.bashinkom.ru/products/ojz/GUMI20Universalnyy02l</x:v>
      </x:c>
      <x:c r="N603" s="11"/>
    </x:row>
    <x:row r="604" ht="68" customHeight="1">
      <x:c r="A604" s="6" t="str">
        <x:v>P0599</x:v>
      </x:c>
      <x:c r="B604" s="6" t="str">
        <x:v>БашИнком</x:v>
      </x:c>
      <x:c r="C604" s="6" t="str">
        <x:v>ГУМИ–20 Цветы</x:v>
      </x:c>
      <x:c r="D604" s="6" t="str">
        <x:v>Средство для растений/почвы</x:v>
      </x:c>
      <x:c r="E604" s="6" t="str">
        <x:v>Розничный каталог</x:v>
      </x:c>
      <x:c r="F604" s="6" t="str">
        <x:v>G39</x:v>
      </x:c>
      <x:c r="G604" s="6" t="str">
        <x:v>Гуматы калия не менее 60%, макроэлементы и микроэлементы природного происхождения.</x:v>
      </x:c>
      <x:c r="H604" s="6" t="str">
        <x:v>Есть сведения; см. ограничения</x:v>
      </x:c>
      <x:c r="I604" s="6" t="str">
        <x:v>Жидкость</x:v>
      </x:c>
      <x:c r="J604" s="12" t="n">
        <x:v>1</x:v>
      </x:c>
      <x:c r="K604" s="6" t="str">
        <x:v>См. коды и ограничения на листе «Сопоставления»</x:v>
      </x:c>
      <x:c r="L604" s="6"/>
      <x:c r="M604" s="13" t="str">
        <x:v>https://www.bashinkom.ru/products/ojz/GUMI20TSVETY125ml</x:v>
      </x:c>
      <x:c r="N604" s="13"/>
    </x:row>
    <x:row r="605" ht="82" customHeight="1">
      <x:c r="A605" s="9" t="str">
        <x:v>P0600</x:v>
      </x:c>
      <x:c r="B605" s="9" t="str">
        <x:v>БашИнком</x:v>
      </x:c>
      <x:c r="C605" s="9" t="str">
        <x:v>ГУМИ-20М Натриевый NPK 1:1,5:1 + МЭ</x:v>
      </x:c>
      <x:c r="D605" s="9" t="str">
        <x:v>Средство для растений/почвы</x:v>
      </x:c>
      <x:c r="E605" s="9" t="str">
        <x:v>Профессиональная линия</x:v>
      </x:c>
      <x:c r="F605" s="9" t="str">
        <x:v>G39</x:v>
      </x:c>
      <x:c r="G605" s="9" t="str">
        <x:v>Натриевые соли БМВ-гуминовых кислот Макро,мезо элементы гр/л N P 2 O 5 K S 10 15 10 3 Микроэлементы в гр/л B Cu Zn Mn Co Mo Ni Li Se Cr 1,5 0,1 0,1 0,5 0,02 0,07 0,02 0,005 0,002 0,007 Cu, Zn, Mn, Co, Cr, Ni, Li – хелатной форме</x:v>
      </x:c>
      <x:c r="H605" s="9" t="str">
        <x:v>Есть сведения; см. ограничения</x:v>
      </x:c>
      <x:c r="I605" s="9" t="str">
        <x:v>Жидкость</x:v>
      </x:c>
      <x:c r="J605" s="10" t="n">
        <x:v>1</x:v>
      </x:c>
      <x:c r="K605" s="9" t="str">
        <x:v>См. коды и ограничения на листе «Сопоставления»</x:v>
      </x:c>
      <x:c r="L605" s="9"/>
      <x:c r="M605" s="11" t="str">
        <x:v>https://www.bashinkom.ru/products/avz/GUMI20MNPK1151ME</x:v>
      </x:c>
      <x:c r="N605" s="11"/>
    </x:row>
    <x:row r="606" ht="68" customHeight="1">
      <x:c r="A606" s="6" t="str">
        <x:v>P0601</x:v>
      </x:c>
      <x:c r="B606" s="6" t="str">
        <x:v>БашИнком</x:v>
      </x:c>
      <x:c r="C606" s="6" t="str">
        <x:v>ГУМИ–30 Супер–универсал быстрорастворимый</x:v>
      </x:c>
      <x:c r="D606" s="6" t="str">
        <x:v>Средство для растений/почвы</x:v>
      </x:c>
      <x:c r="E606" s="6" t="str">
        <x:v>Розничный каталог</x:v>
      </x:c>
      <x:c r="F606" s="6" t="str">
        <x:v>G39</x:v>
      </x:c>
      <x:c r="G606" s="6" t="str">
        <x:v>Гуматы натрия не менее 60%, макроэлементы и микроэлементы природного происхождения.</x:v>
      </x:c>
      <x:c r="H606" s="6" t="str">
        <x:v>Есть сведения; см. ограничения</x:v>
      </x:c>
      <x:c r="I606" s="6" t="str">
        <x:v>Паста</x:v>
      </x:c>
      <x:c r="J606" s="12" t="n">
        <x:v>1</x:v>
      </x:c>
      <x:c r="K606" s="6" t="str">
        <x:v>См. коды и ограничения на листе «Сопоставления»</x:v>
      </x:c>
      <x:c r="L606" s="6"/>
      <x:c r="M606" s="13" t="str">
        <x:v>https://www.bashinkom.ru/products/ojz/GUMI30Superuniversalbystrorastvorimyy100g</x:v>
      </x:c>
      <x:c r="N606" s="13"/>
    </x:row>
    <x:row r="607" ht="68" customHeight="1">
      <x:c r="A607" s="9" t="str">
        <x:v>P0602</x:v>
      </x:c>
      <x:c r="B607" s="9" t="str">
        <x:v>БашИнком</x:v>
      </x:c>
      <x:c r="C607" s="9" t="str">
        <x:v>Гуми–30 Универсал</x:v>
      </x:c>
      <x:c r="D607" s="9" t="str">
        <x:v>Средство для растений/почвы</x:v>
      </x:c>
      <x:c r="E607" s="9" t="str">
        <x:v>Розничный каталог</x:v>
      </x:c>
      <x:c r="F607" s="9" t="str">
        <x:v>G39</x:v>
      </x:c>
      <x:c r="G607" s="9" t="str">
        <x:v>Гуматы натрия не менее 60%, макроэлементы и микроэлементы природного происхождения.</x:v>
      </x:c>
      <x:c r="H607" s="9" t="str">
        <x:v>Есть сведения; см. ограничения</x:v>
      </x:c>
      <x:c r="I607" s="9" t="str">
        <x:v>Паста</x:v>
      </x:c>
      <x:c r="J607" s="10" t="n">
        <x:v>1</x:v>
      </x:c>
      <x:c r="K607" s="9" t="str">
        <x:v>См. коды и ограничения на листе «Сопоставления»</x:v>
      </x:c>
      <x:c r="L607" s="9"/>
      <x:c r="M607" s="11" t="str">
        <x:v>https://www.bashinkom.ru/products/ojz/Gumi30Universal300g</x:v>
      </x:c>
      <x:c r="N607" s="11"/>
    </x:row>
    <x:row r="608" ht="68" customHeight="1">
      <x:c r="A608" s="6" t="str">
        <x:v>P0603</x:v>
      </x:c>
      <x:c r="B608" s="6" t="str">
        <x:v>БашИнком</x:v>
      </x:c>
      <x:c r="C608" s="6" t="str">
        <x:v>Гуми-90 для овощей, ягод, плодов, цветов и декоративных растений</x:v>
      </x:c>
      <x:c r="D608" s="6" t="str">
        <x:v>Средство для растений/почвы</x:v>
      </x:c>
      <x:c r="E608" s="6" t="str">
        <x:v>Розничный каталог</x:v>
      </x:c>
      <x:c r="F608" s="6" t="str">
        <x:v>G39</x:v>
      </x:c>
      <x:c r="G608" s="6" t="str">
        <x:v>Гуматы натрия не менее 60%, макроэлементы и микроэлементы (B, Cu, Mo, Zn, Mn) природного происхождения.</x:v>
      </x:c>
      <x:c r="H608" s="6" t="str">
        <x:v>Есть сведения; см. ограничения</x:v>
      </x:c>
      <x:c r="I608" s="6" t="str">
        <x:v>Порошок</x:v>
      </x:c>
      <x:c r="J608" s="12" t="n">
        <x:v>1</x:v>
      </x:c>
      <x:c r="K608" s="6" t="str">
        <x:v>См. коды и ограничения на листе «Сопоставления»</x:v>
      </x:c>
      <x:c r="L608" s="6"/>
      <x:c r="M608" s="13" t="str">
        <x:v>https://www.bashinkom.ru/products/ojz/Gumi90dlyaovoshcheyyagodplodovtsvetovidekorativnykhrasteniy6g</x:v>
      </x:c>
      <x:c r="N608" s="13"/>
    </x:row>
    <x:row r="609" ht="68" customHeight="1">
      <x:c r="A609" s="9" t="str">
        <x:v>P0604</x:v>
      </x:c>
      <x:c r="B609" s="9" t="str">
        <x:v>БашИнком</x:v>
      </x:c>
      <x:c r="C609" s="9" t="str">
        <x:v>ГУМИ-90 Натриевый соли гуминовых кислот</x:v>
      </x:c>
      <x:c r="D609" s="9" t="str">
        <x:v>Средство для растений/почвы</x:v>
      </x:c>
      <x:c r="E609" s="9" t="str">
        <x:v>Профессиональная линия</x:v>
      </x:c>
      <x:c r="F609" s="9" t="str">
        <x:v>G39</x:v>
      </x:c>
      <x:c r="G609" s="9" t="str">
        <x:v>Натриевые соли БМВ-гуминовых кислот - 60% Содержание бора - 1,2%</x:v>
      </x:c>
      <x:c r="H609" s="9" t="str">
        <x:v>Есть сведения; см. ограничения</x:v>
      </x:c>
      <x:c r="I609" s="9" t="str">
        <x:v>Порошок</x:v>
      </x:c>
      <x:c r="J609" s="10" t="n">
        <x:v>1</x:v>
      </x:c>
      <x:c r="K609" s="9" t="str">
        <x:v>См. коды и ограничения на листе «Сопоставления»</x:v>
      </x:c>
      <x:c r="L609" s="9"/>
      <x:c r="M609" s="11" t="str">
        <x:v>https://www.bashinkom.ru/products/avz/GUMI90</x:v>
      </x:c>
      <x:c r="N609" s="11"/>
    </x:row>
    <x:row r="610" ht="68" customHeight="1">
      <x:c r="A610" s="6" t="str">
        <x:v>P0605</x:v>
      </x:c>
      <x:c r="B610" s="6" t="str">
        <x:v>БашИнком</x:v>
      </x:c>
      <x:c r="C610" s="6" t="str">
        <x:v>ГУМИ-90М Натриевый соли гуминовых кислот</x:v>
      </x:c>
      <x:c r="D610" s="6" t="str">
        <x:v>Средство для растений/почвы</x:v>
      </x:c>
      <x:c r="E610" s="6" t="str">
        <x:v>Профессиональная линия</x:v>
      </x:c>
      <x:c r="F610" s="6" t="str">
        <x:v>G39</x:v>
      </x:c>
      <x:c r="G610" s="6" t="str">
        <x:v>Натриевые соли БМВ-гуминовых кислот - 60% Микроэлементы в % B Mo Co 1,2 0,2 0,05</x:v>
      </x:c>
      <x:c r="H610" s="6" t="str">
        <x:v>Есть сведения; см. ограничения</x:v>
      </x:c>
      <x:c r="I610" s="6" t="str">
        <x:v>Порошок</x:v>
      </x:c>
      <x:c r="J610" s="12" t="n">
        <x:v>1</x:v>
      </x:c>
      <x:c r="K610" s="6" t="str">
        <x:v>См. коды и ограничения на листе «Сопоставления»</x:v>
      </x:c>
      <x:c r="L610" s="6"/>
      <x:c r="M610" s="13" t="str">
        <x:v>https://www.bashinkom.ru/products/avz/GUMI90M</x:v>
      </x:c>
      <x:c r="N610" s="13"/>
    </x:row>
    <x:row r="611" ht="68" customHeight="1">
      <x:c r="A611" s="9" t="str">
        <x:v>P0606</x:v>
      </x:c>
      <x:c r="B611" s="9" t="str">
        <x:v>БашИнком</x:v>
      </x:c>
      <x:c r="C611" s="9" t="str">
        <x:v>ГУМИ–Калийный</x:v>
      </x:c>
      <x:c r="D611" s="9" t="str">
        <x:v>Средство для растений/почвы</x:v>
      </x:c>
      <x:c r="E611" s="9" t="str">
        <x:v>Розничный каталог</x:v>
      </x:c>
      <x:c r="F611" s="9" t="str">
        <x:v>G02</x:v>
      </x:c>
      <x:c r="G611" s="9" t="str">
        <x:v>Гуматы калия не менее 60%, макроэлементы и микроэлементы природного происхождения.</x:v>
      </x:c>
      <x:c r="H611" s="9" t="str">
        <x:v>Есть сведения; см. ограничения</x:v>
      </x:c>
      <x:c r="I611" s="9" t="str">
        <x:v>Жидкость</x:v>
      </x:c>
      <x:c r="J611" s="10" t="n">
        <x:v>1</x:v>
      </x:c>
      <x:c r="K611" s="9" t="str">
        <x:v>См. коды и ограничения на листе «Сопоставления»</x:v>
      </x:c>
      <x:c r="L611" s="9"/>
      <x:c r="M611" s="11" t="str">
        <x:v>https://www.bashinkom.ru/products/ojz/GUMIKaliynyy05l</x:v>
      </x:c>
      <x:c r="N611" s="11"/>
    </x:row>
    <x:row r="612" ht="68" customHeight="1">
      <x:c r="A612" s="6" t="str">
        <x:v>P0607</x:v>
      </x:c>
      <x:c r="B612" s="6" t="str">
        <x:v>БашИнком</x:v>
      </x:c>
      <x:c r="C612" s="6" t="str">
        <x:v>Гуми–Оми Азот</x:v>
      </x:c>
      <x:c r="D612" s="6" t="str">
        <x:v>Средство для растений/почвы</x:v>
      </x:c>
      <x:c r="E612" s="6" t="str">
        <x:v>Розничный каталог</x:v>
      </x:c>
      <x:c r="F612" s="6" t="str">
        <x:v>G26</x:v>
      </x:c>
      <x:c r="G612" s="6" t="str">
        <x:v>Мочевина, компост на основе куриного помёта, микроэлементы B, Cu, удобрение Гуми.</x:v>
      </x:c>
      <x:c r="H612" s="6" t="str">
        <x:v>Есть сведения; см. ограничения</x:v>
      </x:c>
      <x:c r="I612" s="6" t="str">
        <x:v>Порошок</x:v>
      </x:c>
      <x:c r="J612" s="12" t="n">
        <x:v>1</x:v>
      </x:c>
      <x:c r="K612" s="6" t="str">
        <x:v>См. коды и ограничения на листе «Сопоставления»</x:v>
      </x:c>
      <x:c r="L612" s="6"/>
      <x:c r="M612" s="13" t="str">
        <x:v>https://www.bashinkom.ru/products/ojz/AZOTMOCHEVINAGUMIOMI05kg</x:v>
      </x:c>
      <x:c r="N612" s="13"/>
    </x:row>
    <x:row r="613" ht="82" customHeight="1">
      <x:c r="A613" s="9" t="str">
        <x:v>P0608</x:v>
      </x:c>
      <x:c r="B613" s="9" t="str">
        <x:v>БашИнком</x:v>
      </x:c>
      <x:c r="C613" s="9" t="str">
        <x:v>Гуми–Оми Бутон–Цветы</x:v>
      </x:c>
      <x:c r="D613" s="9" t="str">
        <x:v>Средство для растений/почвы</x:v>
      </x:c>
      <x:c r="E613" s="9" t="str">
        <x:v>Розничный каталог</x:v>
      </x:c>
      <x:c r="F613" s="9" t="str">
        <x:v>C17</x:v>
      </x:c>
      <x:c r="G613" s="9" t="str">
        <x:v>Идеально сбалансировано по элементам питания, микроэлементам, органическим и гумусным веществам. Содержит азот - 4,0%, фосфор - 9,0%, калий - 9,0%; Микроэлементы: бор – 100–300 мг/кг, медь – 100–300 мг/кг; витамин роста Гуми–0,6%; компостированную органику -20%.</x:v>
      </x:c>
      <x:c r="H613" s="9" t="str">
        <x:v>Есть сведения; см. ограничения</x:v>
      </x:c>
      <x:c r="I613" s="9" t="str">
        <x:v>Порошок</x:v>
      </x:c>
      <x:c r="J613" s="10" t="n">
        <x:v>1</x:v>
      </x:c>
      <x:c r="K613" s="9" t="str">
        <x:v>См. коды и ограничения на листе «Сопоставления»</x:v>
      </x:c>
      <x:c r="L613" s="9"/>
      <x:c r="M613" s="11" t="str">
        <x:v>https://www.bashinkom.ru/products/ojz/ButonTSvetyGumiOMI50g</x:v>
      </x:c>
      <x:c r="N613" s="11"/>
    </x:row>
    <x:row r="614" ht="68" customHeight="1">
      <x:c r="A614" s="6" t="str">
        <x:v>P0609</x:v>
      </x:c>
      <x:c r="B614" s="6" t="str">
        <x:v>БашИнком</x:v>
      </x:c>
      <x:c r="C614" s="6" t="str">
        <x:v>Гуми–Оми Весенний</x:v>
      </x:c>
      <x:c r="D614" s="6" t="str">
        <x:v>Средство для растений/почвы</x:v>
      </x:c>
      <x:c r="E614" s="6" t="str">
        <x:v>Розничный каталог</x:v>
      </x:c>
      <x:c r="F614" s="6" t="str">
        <x:v>C22</x:v>
      </x:c>
      <x:c r="G614" s="6" t="str">
        <x:v>Компост на основе куриного помёта, N,P,K удобрения, микроэлементы Cu, Co, Mn, Mo, Zn, B, удобрение Гуми.</x:v>
      </x:c>
      <x:c r="H614" s="6" t="str">
        <x:v>Есть сведения; см. ограничения</x:v>
      </x:c>
      <x:c r="I614" s="6" t="str">
        <x:v>Порошок</x:v>
      </x:c>
      <x:c r="J614" s="12" t="n">
        <x:v>1</x:v>
      </x:c>
      <x:c r="K614" s="6" t="str">
        <x:v>См. коды и ограничения на листе «Сопоставления»</x:v>
      </x:c>
      <x:c r="L614" s="6"/>
      <x:c r="M614" s="13" t="str">
        <x:v>https://www.bashinkom.ru/products/ojz/VesenniyGumiOMI1kg</x:v>
      </x:c>
      <x:c r="N614" s="13"/>
    </x:row>
    <x:row r="615" ht="68" customHeight="1">
      <x:c r="A615" s="9" t="str">
        <x:v>P0610</x:v>
      </x:c>
      <x:c r="B615" s="9" t="str">
        <x:v>БашИнком</x:v>
      </x:c>
      <x:c r="C615" s="9" t="str">
        <x:v>Гуми-Оми Декоративные кустарники</x:v>
      </x:c>
      <x:c r="D615" s="9" t="str">
        <x:v>Средство для растений/почвы</x:v>
      </x:c>
      <x:c r="E615" s="9" t="str">
        <x:v>Розничный каталог</x:v>
      </x:c>
      <x:c r="F615" s="9" t="str">
        <x:v>C24</x:v>
      </x:c>
      <x:c r="G615" s="9" t="str">
        <x:v>Компост на основе куриного помёта, N,P,K удобрения, микроэлементы B, Cu, удобрение Гуми.</x:v>
      </x:c>
      <x:c r="H615" s="9" t="str">
        <x:v>Есть сведения; см. ограничения</x:v>
      </x:c>
      <x:c r="I615" s="9" t="str">
        <x:v>Порошок</x:v>
      </x:c>
      <x:c r="J615" s="10" t="n">
        <x:v>1</x:v>
      </x:c>
      <x:c r="K615" s="9" t="str">
        <x:v>См. коды и ограничения на листе «Сопоставления»</x:v>
      </x:c>
      <x:c r="L615" s="9"/>
      <x:c r="M615" s="11" t="str">
        <x:v>https://www.bashinkom.ru/products/ojz/DEKORATIVNYEKUSTARNIKIGumiOmi1kg</x:v>
      </x:c>
      <x:c r="N615" s="11"/>
    </x:row>
    <x:row r="616" ht="68" customHeight="1">
      <x:c r="A616" s="6" t="str">
        <x:v>P0611</x:v>
      </x:c>
      <x:c r="B616" s="6" t="str">
        <x:v>БашИнком</x:v>
      </x:c>
      <x:c r="C616" s="6" t="str">
        <x:v>Гуми–Оми Кактус-Алоэ</x:v>
      </x:c>
      <x:c r="D616" s="6" t="str">
        <x:v>Средство для растений/почвы</x:v>
      </x:c>
      <x:c r="E616" s="6" t="str">
        <x:v>Розничный каталог</x:v>
      </x:c>
      <x:c r="F616" s="6" t="str">
        <x:v>C15</x:v>
      </x:c>
      <x:c r="G616" s="6" t="str">
        <x:v>Азот – 3,0%, фосфор – 6,0%, калий – 6,0%; Микроэлементы: бор – 100–300 мг/кг, медь – 100–300 мг/кг; Природный витамин роста Гуми–20 – 0,4%, ферментированное органическое вещество – 20%.</x:v>
      </x:c>
      <x:c r="H616" s="6" t="str">
        <x:v>Есть сведения; см. ограничения</x:v>
      </x:c>
      <x:c r="I616" s="6" t="str">
        <x:v>Порошок</x:v>
      </x:c>
      <x:c r="J616" s="12" t="n">
        <x:v>1</x:v>
      </x:c>
      <x:c r="K616" s="6" t="str">
        <x:v>См. коды и ограничения на листе «Сопоставления»</x:v>
      </x:c>
      <x:c r="L616" s="6"/>
      <x:c r="M616" s="13" t="str">
        <x:v>https://www.bashinkom.ru/products/ojz/KAKTUSALOEGumiOMI50g</x:v>
      </x:c>
      <x:c r="N616" s="13"/>
    </x:row>
    <x:row r="617" ht="68" customHeight="1">
      <x:c r="A617" s="9" t="str">
        <x:v>P0612</x:v>
      </x:c>
      <x:c r="B617" s="9" t="str">
        <x:v>БашИнком</x:v>
      </x:c>
      <x:c r="C617" s="9" t="str">
        <x:v>Гуми–Оми Калий</x:v>
      </x:c>
      <x:c r="D617" s="9" t="str">
        <x:v>Средство для растений/почвы</x:v>
      </x:c>
      <x:c r="E617" s="9" t="str">
        <x:v>Розничный каталог</x:v>
      </x:c>
      <x:c r="F617" s="9" t="str">
        <x:v>G28</x:v>
      </x:c>
      <x:c r="G617" s="9" t="str">
        <x:v>Сульфат калия, компост на основе куриного помёта, микроэлементы B, Cu, удобрение Гуми.</x:v>
      </x:c>
      <x:c r="H617" s="9" t="str">
        <x:v>Есть сведения; см. ограничения</x:v>
      </x:c>
      <x:c r="I617" s="9" t="str">
        <x:v>Порошок</x:v>
      </x:c>
      <x:c r="J617" s="10" t="n">
        <x:v>1</x:v>
      </x:c>
      <x:c r="K617" s="9" t="str">
        <x:v>См. коды и ограничения на листе «Сопоставления»</x:v>
      </x:c>
      <x:c r="L617" s="9"/>
      <x:c r="M617" s="11" t="str">
        <x:v>https://www.bashinkom.ru/products/ojz/KALIYSULFATKALIYAGUMIOMI05kg</x:v>
      </x:c>
      <x:c r="N617" s="11"/>
    </x:row>
    <x:row r="618" ht="68" customHeight="1">
      <x:c r="A618" s="6" t="str">
        <x:v>P0613</x:v>
      </x:c>
      <x:c r="B618" s="6" t="str">
        <x:v>БашИнком</x:v>
      </x:c>
      <x:c r="C618" s="6" t="str">
        <x:v>Гуми–ОМИ Картофель</x:v>
      </x:c>
      <x:c r="D618" s="6" t="str">
        <x:v>Средство для растений/почвы</x:v>
      </x:c>
      <x:c r="E618" s="6" t="str">
        <x:v>Розничный каталог</x:v>
      </x:c>
      <x:c r="F618" s="6" t="str">
        <x:v>C19</x:v>
      </x:c>
      <x:c r="G618" s="6" t="str">
        <x:v>Компост на основе куриного помёта, N,P,K удобрения, микроэлементы B, Cu, удобрение Гуми.</x:v>
      </x:c>
      <x:c r="H618" s="6" t="str">
        <x:v>Есть сведения; см. ограничения</x:v>
      </x:c>
      <x:c r="I618" s="6" t="str">
        <x:v>Порошок</x:v>
      </x:c>
      <x:c r="J618" s="12" t="n">
        <x:v>1</x:v>
      </x:c>
      <x:c r="K618" s="6" t="str">
        <x:v>См. коды и ограничения на листе «Сопоставления»</x:v>
      </x:c>
      <x:c r="L618" s="6"/>
      <x:c r="M618" s="13" t="str">
        <x:v>https://www.bashinkom.ru/products/ojz/GumiOMIKartofel10kg</x:v>
      </x:c>
      <x:c r="N618" s="13"/>
    </x:row>
    <x:row r="619" ht="68" customHeight="1">
      <x:c r="A619" s="9" t="str">
        <x:v>P0614</x:v>
      </x:c>
      <x:c r="B619" s="9" t="str">
        <x:v>БашИнком</x:v>
      </x:c>
      <x:c r="C619" s="9" t="str">
        <x:v>Гуми–Оми Картофель, Морковь, Редис, Свекла, Репа, Редька</x:v>
      </x:c>
      <x:c r="D619" s="9" t="str">
        <x:v>Средство для растений/почвы</x:v>
      </x:c>
      <x:c r="E619" s="9" t="str">
        <x:v>Розничный каталог</x:v>
      </x:c>
      <x:c r="F619" s="9" t="str">
        <x:v>C19</x:v>
      </x:c>
      <x:c r="G619" s="9" t="str">
        <x:v>Азот - 5,7%, фосфор - 5,5%, калий - 5,9%; микроэлементы: бор - 100–150 мг/кг, медь - 50–60 мг/кг; эликсир плодородия Гуми – 0,6 %.</x:v>
      </x:c>
      <x:c r="H619" s="9" t="str">
        <x:v>Есть сведения; см. ограничения</x:v>
      </x:c>
      <x:c r="I619" s="9" t="str">
        <x:v>Пакет</x:v>
      </x:c>
      <x:c r="J619" s="10" t="n">
        <x:v>1</x:v>
      </x:c>
      <x:c r="K619" s="9" t="str">
        <x:v>См. коды и ограничения на листе «Сопоставления»</x:v>
      </x:c>
      <x:c r="L619" s="9"/>
      <x:c r="M619" s="11" t="str">
        <x:v>https://www.bashinkom.ru/products/ojz/GumiOMIKartofelMorkovRedisSveklaRepaRedka07kg</x:v>
      </x:c>
      <x:c r="N619" s="11"/>
    </x:row>
    <x:row r="620" ht="68" customHeight="1">
      <x:c r="A620" s="6" t="str">
        <x:v>P0615</x:v>
      </x:c>
      <x:c r="B620" s="6" t="str">
        <x:v>БашИнком</x:v>
      </x:c>
      <x:c r="C620" s="6" t="str">
        <x:v>Гуми–Оми Лианы</x:v>
      </x:c>
      <x:c r="D620" s="6" t="str">
        <x:v>Средство для растений/почвы</x:v>
      </x:c>
      <x:c r="E620" s="6" t="str">
        <x:v>Розничный каталог</x:v>
      </x:c>
      <x:c r="F620" s="6" t="str">
        <x:v>C11</x:v>
      </x:c>
      <x:c r="G620" s="6" t="str">
        <x:v>Азот – 5,0%, фосфор – 5,0%, калий – 5,0%; Микроэлементы: бор – 100–300 мг/кг, медь – 100–300 мг/кг; Природный витамин роста Гуми–20 – 0,6%, ферментированное органическое вещество – 20%.</x:v>
      </x:c>
      <x:c r="H620" s="6" t="str">
        <x:v>Есть сведения; см. ограничения</x:v>
      </x:c>
      <x:c r="I620" s="6" t="str">
        <x:v>Порошок</x:v>
      </x:c>
      <x:c r="J620" s="12" t="n">
        <x:v>1</x:v>
      </x:c>
      <x:c r="K620" s="6" t="str">
        <x:v>См. коды и ограничения на листе «Сопоставления»</x:v>
      </x:c>
      <x:c r="L620" s="6"/>
      <x:c r="M620" s="13" t="str">
        <x:v>https://www.bashinkom.ru/products/ojz/LIANYGumiOMI50g</x:v>
      </x:c>
      <x:c r="N620" s="13"/>
    </x:row>
    <x:row r="621" ht="68" customHeight="1">
      <x:c r="A621" s="9" t="str">
        <x:v>P0616</x:v>
      </x:c>
      <x:c r="B621" s="9" t="str">
        <x:v>БашИнком</x:v>
      </x:c>
      <x:c r="C621" s="9" t="str">
        <x:v>Гуми–ОМИ Лимон – Мандарин</x:v>
      </x:c>
      <x:c r="D621" s="9" t="str">
        <x:v>Средство для растений/почвы</x:v>
      </x:c>
      <x:c r="E621" s="9" t="str">
        <x:v>Розничный каталог</x:v>
      </x:c>
      <x:c r="F621" s="9" t="str">
        <x:v>C16</x:v>
      </x:c>
      <x:c r="G621" s="9" t="str">
        <x:v>Азот – 7,0%, фосфор – 7,0%, калий – 10,0%; Микроэлементы: бор – 100–300 мг/кг, медь – 100–300 мг/кг; Природный витамин роста Гуми–20 – 0,6%, ферментированное органическое вещество – 20%.</x:v>
      </x:c>
      <x:c r="H621" s="9" t="str">
        <x:v>Есть сведения; см. ограничения</x:v>
      </x:c>
      <x:c r="I621" s="9" t="str">
        <x:v>Порошок</x:v>
      </x:c>
      <x:c r="J621" s="10" t="n">
        <x:v>1</x:v>
      </x:c>
      <x:c r="K621" s="9" t="str">
        <x:v>См. коды и ограничения на листе «Сопоставления»</x:v>
      </x:c>
      <x:c r="L621" s="9"/>
      <x:c r="M621" s="11" t="str">
        <x:v>https://www.bashinkom.ru/products/ojz/LIMONMANDARINGumiOMI50g</x:v>
      </x:c>
      <x:c r="N621" s="11"/>
    </x:row>
    <x:row r="622" ht="124" customHeight="1">
      <x:c r="A622" s="6" t="str">
        <x:v>P0617</x:v>
      </x:c>
      <x:c r="B622" s="6" t="str">
        <x:v>БашИнком</x:v>
      </x:c>
      <x:c r="C622" s="6" t="str">
        <x:v>Гуми-Оми Лук и Чеснок - ( гранулированный)</x:v>
      </x:c>
      <x:c r="D622" s="6" t="str">
        <x:v>Средство для растений/почвы</x:v>
      </x:c>
      <x:c r="E622" s="6" t="str">
        <x:v>Розничный каталог</x:v>
      </x:c>
      <x:c r="F622" s="6" t="str">
        <x:v>C18</x:v>
      </x:c>
      <x:c r="G622" s="6" t="str">
        <x:v>Ферментированный куриный помет, NPK удобрения,микроэлементы (бор, медь, цинк), удобрение ГУМИ (калиевые соли гуминовых и фульвовых кислот). Содержание питательных веществ в пересчете на сухое вещество: - органическое вещество: не менее 20%; - Калиевые соли гуминовых кислот (гуматы калия) - 0,4-0,6%; - макроэлементы, не менее: общий азот 6%; общий фосфор 5,6%; общий калий – 4,8%; - микроэлементы: B 100-150 мг/кг, Cu 50-60… (сокращено)</x:v>
      </x:c>
      <x:c r="H622" s="6" t="str">
        <x:v>Есть сведения; см. ограничения</x:v>
      </x:c>
      <x:c r="I622" s="6" t="str">
        <x:v>Гранулы</x:v>
      </x:c>
      <x:c r="J622" s="12" t="n">
        <x:v>1</x:v>
      </x:c>
      <x:c r="K622" s="6" t="str">
        <x:v>См. коды и ограничения на листе «Сопоставления»</x:v>
      </x:c>
      <x:c r="L622" s="6"/>
      <x:c r="M622" s="13" t="str">
        <x:v>https://www.bashinkom.ru/products/ojz/ProbiogranulyLukiCHesnok08kg</x:v>
      </x:c>
      <x:c r="N622" s="13"/>
    </x:row>
    <x:row r="623" ht="68" customHeight="1">
      <x:c r="A623" s="9" t="str">
        <x:v>P0618</x:v>
      </x:c>
      <x:c r="B623" s="9" t="str">
        <x:v>БашИнком</x:v>
      </x:c>
      <x:c r="C623" s="9" t="str">
        <x:v>Гуми–Оми Лук, Чеснок</x:v>
      </x:c>
      <x:c r="D623" s="9" t="str">
        <x:v>Средство для растений/почвы</x:v>
      </x:c>
      <x:c r="E623" s="9" t="str">
        <x:v>Розничный каталог</x:v>
      </x:c>
      <x:c r="F623" s="9" t="str">
        <x:v>C18</x:v>
      </x:c>
      <x:c r="G623" s="9" t="str">
        <x:v>Компост на основе куриного помёта, N,P,K удобрения, микроэлементы B, Cu, удобрение Гуми.</x:v>
      </x:c>
      <x:c r="H623" s="9" t="str">
        <x:v>Есть сведения; см. ограничения</x:v>
      </x:c>
      <x:c r="I623" s="9" t="str">
        <x:v>Порошок</x:v>
      </x:c>
      <x:c r="J623" s="10" t="n">
        <x:v>1</x:v>
      </x:c>
      <x:c r="K623" s="9" t="str">
        <x:v>См. коды и ограничения на листе «Сопоставления»</x:v>
      </x:c>
      <x:c r="L623" s="9"/>
      <x:c r="M623" s="11" t="str">
        <x:v>https://www.bashinkom.ru/products/ojz/GumiOMILukCHesnok07kg</x:v>
      </x:c>
      <x:c r="N623" s="11"/>
    </x:row>
    <x:row r="624" ht="68" customHeight="1">
      <x:c r="A624" s="6" t="str">
        <x:v>P0619</x:v>
      </x:c>
      <x:c r="B624" s="6" t="str">
        <x:v>БашИнком</x:v>
      </x:c>
      <x:c r="C624" s="6" t="str">
        <x:v>Гуми–Оми Луковичные и Клубнелуковичные цветы</x:v>
      </x:c>
      <x:c r="D624" s="6" t="str">
        <x:v>Средство для растений/почвы</x:v>
      </x:c>
      <x:c r="E624" s="6" t="str">
        <x:v>Розничный каталог</x:v>
      </x:c>
      <x:c r="F624" s="6" t="str">
        <x:v>C17; C26</x:v>
      </x:c>
      <x:c r="G624" s="6" t="str">
        <x:v>Компост на основе куриного помёта, N,P,K удобрения, микроэлементы B, Cu, удобрение Гуми.</x:v>
      </x:c>
      <x:c r="H624" s="6" t="str">
        <x:v>Есть сведения; см. ограничения</x:v>
      </x:c>
      <x:c r="I624" s="6" t="str">
        <x:v>Порошок.</x:v>
      </x:c>
      <x:c r="J624" s="12" t="n">
        <x:v>1</x:v>
      </x:c>
      <x:c r="K624" s="6" t="str">
        <x:v>См. коды и ограничения на листе «Сопоставления»</x:v>
      </x:c>
      <x:c r="L624" s="6"/>
      <x:c r="M624" s="13" t="str">
        <x:v>https://www.bashinkom.ru/products/ojz/LukovichnyeiKlubnelukovichnyetsvetyGumiOMI50g</x:v>
      </x:c>
      <x:c r="N624" s="13"/>
    </x:row>
    <x:row r="625" ht="68" customHeight="1">
      <x:c r="A625" s="9" t="str">
        <x:v>P0620</x:v>
      </x:c>
      <x:c r="B625" s="9" t="str">
        <x:v>БашИнком</x:v>
      </x:c>
      <x:c r="C625" s="9" t="str">
        <x:v>Гуми–Оми Огурец, Кабачок, Бахчевые</x:v>
      </x:c>
      <x:c r="D625" s="9" t="str">
        <x:v>Средство для растений/почвы</x:v>
      </x:c>
      <x:c r="E625" s="9" t="str">
        <x:v>Розничный каталог</x:v>
      </x:c>
      <x:c r="F625" s="9" t="str">
        <x:v>C03</x:v>
      </x:c>
      <x:c r="G625" s="9" t="str">
        <x:v>Компост на основе куриного помёта, N,P,K удобрения, микроэлементы B, Cu, удобрение Гуми.</x:v>
      </x:c>
      <x:c r="H625" s="9" t="str">
        <x:v>Есть сведения; см. ограничения</x:v>
      </x:c>
      <x:c r="I625" s="9" t="str">
        <x:v>Порошок</x:v>
      </x:c>
      <x:c r="J625" s="10" t="n">
        <x:v>1</x:v>
      </x:c>
      <x:c r="K625" s="9" t="str">
        <x:v>См. коды и ограничения на листе «Сопоставления»</x:v>
      </x:c>
      <x:c r="L625" s="9"/>
      <x:c r="M625" s="11" t="str">
        <x:v>https://www.bashinkom.ru/products/ojz/GumiOMIOguretsKabachokBakhchevye07kg</x:v>
      </x:c>
      <x:c r="N625" s="11"/>
    </x:row>
    <x:row r="626" ht="68" customHeight="1">
      <x:c r="A626" s="6" t="str">
        <x:v>P0621</x:v>
      </x:c>
      <x:c r="B626" s="6" t="str">
        <x:v>БашИнком</x:v>
      </x:c>
      <x:c r="C626" s="6" t="str">
        <x:v>Гуми–Оми Осенний</x:v>
      </x:c>
      <x:c r="D626" s="6" t="str">
        <x:v>Средство для растений/почвы</x:v>
      </x:c>
      <x:c r="E626" s="6" t="str">
        <x:v>Розничный каталог</x:v>
      </x:c>
      <x:c r="F626" s="6" t="str">
        <x:v>C21</x:v>
      </x:c>
      <x:c r="G626" s="6" t="str">
        <x:v>Компост на основе куриного помёта, N,P,K удобрения, микроэлементы Cu, Co, Mn, Mo, Zn, B, удобрение Гуми.</x:v>
      </x:c>
      <x:c r="H626" s="6" t="str">
        <x:v>Есть сведения; см. ограничения</x:v>
      </x:c>
      <x:c r="I626" s="6" t="str">
        <x:v>Порошок</x:v>
      </x:c>
      <x:c r="J626" s="12" t="n">
        <x:v>1</x:v>
      </x:c>
      <x:c r="K626" s="6" t="str">
        <x:v>См. коды и ограничения на листе «Сопоставления»</x:v>
      </x:c>
      <x:c r="L626" s="6"/>
      <x:c r="M626" s="13" t="str">
        <x:v>https://www.bashinkom.ru/products/ojz/GumiOmiOsenniy1kg</x:v>
      </x:c>
      <x:c r="N626" s="13"/>
    </x:row>
    <x:row r="627" ht="68" customHeight="1">
      <x:c r="A627" s="9" t="str">
        <x:v>P0622</x:v>
      </x:c>
      <x:c r="B627" s="9" t="str">
        <x:v>БашИнком</x:v>
      </x:c>
      <x:c r="C627" s="9" t="str">
        <x:v>Гуми-Оми Плодовые – деревья и кустарники</x:v>
      </x:c>
      <x:c r="D627" s="9" t="str">
        <x:v>Средство для растений/почвы</x:v>
      </x:c>
      <x:c r="E627" s="9" t="str">
        <x:v>Розничный каталог</x:v>
      </x:c>
      <x:c r="F627" s="9" t="str">
        <x:v>C20</x:v>
      </x:c>
      <x:c r="G627" s="9" t="str">
        <x:v>Компост на основе куриного помёта, N,P,K удобрения, микроэлементы B, Cu, удобрение Гуми.</x:v>
      </x:c>
      <x:c r="H627" s="9" t="str">
        <x:v>Есть сведения; см. ограничения</x:v>
      </x:c>
      <x:c r="I627" s="9" t="str">
        <x:v>Порошок</x:v>
      </x:c>
      <x:c r="J627" s="10" t="n">
        <x:v>1</x:v>
      </x:c>
      <x:c r="K627" s="9" t="str">
        <x:v>См. коды и ограничения на листе «Сопоставления»</x:v>
      </x:c>
      <x:c r="L627" s="9"/>
      <x:c r="M627" s="11" t="str">
        <x:v>https://www.bashinkom.ru/products/ojz/GumiOmiPlodovyederevyaikustarniki1kg</x:v>
      </x:c>
      <x:c r="N627" s="11"/>
    </x:row>
    <x:row r="628" ht="68" customHeight="1">
      <x:c r="A628" s="6" t="str">
        <x:v>P0623</x:v>
      </x:c>
      <x:c r="B628" s="6" t="str">
        <x:v>БашИнком</x:v>
      </x:c>
      <x:c r="C628" s="6" t="str">
        <x:v>Гуми-Оми Рассада</x:v>
      </x:c>
      <x:c r="D628" s="6" t="str">
        <x:v>Средство для растений/почвы</x:v>
      </x:c>
      <x:c r="E628" s="6" t="str">
        <x:v>Розничный каталог</x:v>
      </x:c>
      <x:c r="F628" s="6" t="str">
        <x:v>C04</x:v>
      </x:c>
      <x:c r="G628" s="6" t="str">
        <x:v>Компост на основе куриного помёта, N,P,K удобрения, микроэлементы B, Cu, удобрение Гуми.</x:v>
      </x:c>
      <x:c r="H628" s="6" t="str">
        <x:v>Есть сведения; см. ограничения</x:v>
      </x:c>
      <x:c r="I628" s="6" t="str">
        <x:v>Порошок</x:v>
      </x:c>
      <x:c r="J628" s="12" t="n">
        <x:v>1</x:v>
      </x:c>
      <x:c r="K628" s="6" t="str">
        <x:v>См. коды и ограничения на листе «Сопоставления»</x:v>
      </x:c>
      <x:c r="L628" s="6"/>
      <x:c r="M628" s="13" t="str">
        <x:v>https://www.bashinkom.ru/products/ojz/GumiOmiRassada</x:v>
      </x:c>
      <x:c r="N628" s="13"/>
    </x:row>
    <x:row r="629" ht="68" customHeight="1">
      <x:c r="A629" s="9" t="str">
        <x:v>P0624</x:v>
      </x:c>
      <x:c r="B629" s="9" t="str">
        <x:v>БашИнком</x:v>
      </x:c>
      <x:c r="C629" s="9" t="str">
        <x:v>Гуми-Оми Розы</x:v>
      </x:c>
      <x:c r="D629" s="9" t="str">
        <x:v>Средство для растений/почвы</x:v>
      </x:c>
      <x:c r="E629" s="9" t="str">
        <x:v>Розничный каталог</x:v>
      </x:c>
      <x:c r="F629" s="9" t="str">
        <x:v>C06</x:v>
      </x:c>
      <x:c r="G629" s="9" t="str">
        <x:v>Компост на основе куриного помета; макро- (азот – 4,0%, фосфор – 7,0%, калий – 7,0%) и микроэлементы (бор, медь, цинк); эликсир плодородия Гуми (натриевые соли гуминовых и фульвовых кислот).</x:v>
      </x:c>
      <x:c r="H629" s="9" t="str">
        <x:v>Есть сведения; см. ограничения</x:v>
      </x:c>
      <x:c r="I629" s="9" t="str">
        <x:v>Порошок</x:v>
      </x:c>
      <x:c r="J629" s="10" t="n">
        <x:v>1</x:v>
      </x:c>
      <x:c r="K629" s="9" t="str">
        <x:v>См. коды и ограничения на листе «Сопоставления»</x:v>
      </x:c>
      <x:c r="L629" s="9"/>
      <x:c r="M629" s="11" t="str">
        <x:v>https://www.bashinkom.ru/products/ojz/ROZYGumiOmi05kg</x:v>
      </x:c>
      <x:c r="N629" s="11"/>
    </x:row>
    <x:row r="630" ht="68" customHeight="1">
      <x:c r="A630" s="6" t="str">
        <x:v>P0625</x:v>
      </x:c>
      <x:c r="B630" s="6" t="str">
        <x:v>БашИнком</x:v>
      </x:c>
      <x:c r="C630" s="6" t="str">
        <x:v>Гуми–Оми Томат, Баклажан, Перец</x:v>
      </x:c>
      <x:c r="D630" s="6" t="str">
        <x:v>Средство для растений/почвы</x:v>
      </x:c>
      <x:c r="E630" s="6" t="str">
        <x:v>Розничный каталог</x:v>
      </x:c>
      <x:c r="F630" s="6" t="str">
        <x:v>C02</x:v>
      </x:c>
      <x:c r="G630" s="6" t="str">
        <x:v>Компост на основе куриного помёта, N,P,K удобрения, микроэлементы B, Cu, удобрение Гуми.</x:v>
      </x:c>
      <x:c r="H630" s="6" t="str">
        <x:v>Есть сведения; см. ограничения</x:v>
      </x:c>
      <x:c r="I630" s="6" t="str">
        <x:v>Порошок</x:v>
      </x:c>
      <x:c r="J630" s="12" t="n">
        <x:v>1</x:v>
      </x:c>
      <x:c r="K630" s="6" t="str">
        <x:v>См. коды и ограничения на листе «Сопоставления»</x:v>
      </x:c>
      <x:c r="L630" s="6"/>
      <x:c r="M630" s="13" t="str">
        <x:v>https://www.bashinkom.ru/products/ojz/GumiOMITomatBaklazhanPerets07kg</x:v>
      </x:c>
      <x:c r="N630" s="13"/>
    </x:row>
    <x:row r="631" ht="68" customHeight="1">
      <x:c r="A631" s="9" t="str">
        <x:v>P0626</x:v>
      </x:c>
      <x:c r="B631" s="9" t="str">
        <x:v>БашИнком</x:v>
      </x:c>
      <x:c r="C631" s="9" t="str">
        <x:v>Гуми–Оми Универсал - Овощи, Ягоды, Цветы</x:v>
      </x:c>
      <x:c r="D631" s="9" t="str">
        <x:v>Средство для растений/почвы</x:v>
      </x:c>
      <x:c r="E631" s="9" t="str">
        <x:v>Розничный каталог</x:v>
      </x:c>
      <x:c r="F631" s="9" t="str">
        <x:v>C01; C05; C17; C25</x:v>
      </x:c>
      <x:c r="G631" s="9" t="str">
        <x:v>Компост на основе куриного помёта, N,P,K удобрения, микроэлементы B, Cu, удобрение Гуми.</x:v>
      </x:c>
      <x:c r="H631" s="9" t="str">
        <x:v>Есть сведения; см. ограничения</x:v>
      </x:c>
      <x:c r="I631" s="9" t="str">
        <x:v>Порошок</x:v>
      </x:c>
      <x:c r="J631" s="10" t="n">
        <x:v>1</x:v>
      </x:c>
      <x:c r="K631" s="9" t="str">
        <x:v>См. коды и ограничения на листе «Сопоставления»</x:v>
      </x:c>
      <x:c r="L631" s="9"/>
      <x:c r="M631" s="11" t="str">
        <x:v>https://www.bashinkom.ru/products/ojz/GumiOMIUNIVERSALOvoshchiYAgodyTSvety07kg</x:v>
      </x:c>
      <x:c r="N631" s="11"/>
    </x:row>
    <x:row r="632" ht="68" customHeight="1">
      <x:c r="A632" s="6" t="str">
        <x:v>P0627</x:v>
      </x:c>
      <x:c r="B632" s="6" t="str">
        <x:v>БашИнком</x:v>
      </x:c>
      <x:c r="C632" s="6" t="str">
        <x:v>Гуми-Оми Универсальное– , ( гранулированный)</x:v>
      </x:c>
      <x:c r="D632" s="6" t="str">
        <x:v>Средство для растений/почвы</x:v>
      </x:c>
      <x:c r="E632" s="6" t="str">
        <x:v>Розничный каталог</x:v>
      </x:c>
      <x:c r="F632" s="6" t="str">
        <x:v>C01</x:v>
      </x:c>
      <x:c r="G632" s="6" t="str">
        <x:v>Компост на основе куриного помёта, N,P,K удобрения, микроэлементы B, Cu, удобрение Гуми.</x:v>
      </x:c>
      <x:c r="H632" s="6" t="str">
        <x:v>Есть сведения; см. ограничения</x:v>
      </x:c>
      <x:c r="I632" s="6" t="str">
        <x:v>Гранулы</x:v>
      </x:c>
      <x:c r="J632" s="12" t="n">
        <x:v>1</x:v>
      </x:c>
      <x:c r="K632" s="6" t="str">
        <x:v>См. коды и ограничения на листе «Сопоставления»</x:v>
      </x:c>
      <x:c r="L632" s="6"/>
      <x:c r="M632" s="13" t="str">
        <x:v>https://www.bashinkom.ru/products/ojz/GumiOmiUniversalnyyGranulirovannyy</x:v>
      </x:c>
      <x:c r="N632" s="13"/>
    </x:row>
    <x:row r="633" ht="68" customHeight="1">
      <x:c r="A633" s="9" t="str">
        <x:v>P0628</x:v>
      </x:c>
      <x:c r="B633" s="9" t="str">
        <x:v>БашИнком</x:v>
      </x:c>
      <x:c r="C633" s="9" t="str">
        <x:v>Гуми–Оми Фиалка-Герань</x:v>
      </x:c>
      <x:c r="D633" s="9" t="str">
        <x:v>Средство для растений/почвы</x:v>
      </x:c>
      <x:c r="E633" s="9" t="str">
        <x:v>Розничный каталог</x:v>
      </x:c>
      <x:c r="F633" s="9" t="str">
        <x:v>C14</x:v>
      </x:c>
      <x:c r="G633" s="9" t="str">
        <x:v>Азот – 7,0%, фосфор – 7,0%, калий – 7,0%; микроэлементы: бор – 100–300 мг/кг, медь – 100–300 мг/кг; природный витамин роста Гуми–20 – 0,6 %, ферментированное органическое вещество – 20%.</x:v>
      </x:c>
      <x:c r="H633" s="9" t="str">
        <x:v>Есть сведения; см. ограничения</x:v>
      </x:c>
      <x:c r="I633" s="9" t="str">
        <x:v>Порошок</x:v>
      </x:c>
      <x:c r="J633" s="10" t="n">
        <x:v>1</x:v>
      </x:c>
      <x:c r="K633" s="9" t="str">
        <x:v>См. коды и ограничения на листе «Сопоставления»</x:v>
      </x:c>
      <x:c r="L633" s="9"/>
      <x:c r="M633" s="11" t="str">
        <x:v>https://www.bashinkom.ru/products/ojz/FIALKAGERANGumiOMI50g</x:v>
      </x:c>
      <x:c r="N633" s="11"/>
    </x:row>
    <x:row r="634" ht="68" customHeight="1">
      <x:c r="A634" s="6" t="str">
        <x:v>P0629</x:v>
      </x:c>
      <x:c r="B634" s="6" t="str">
        <x:v>БашИнком</x:v>
      </x:c>
      <x:c r="C634" s="6" t="str">
        <x:v>Гуми–ОМИ Фикус-Пальма</x:v>
      </x:c>
      <x:c r="D634" s="6" t="str">
        <x:v>Средство для растений/почвы</x:v>
      </x:c>
      <x:c r="E634" s="6" t="str">
        <x:v>Розничный каталог</x:v>
      </x:c>
      <x:c r="F634" s="6" t="str">
        <x:v>C13</x:v>
      </x:c>
      <x:c r="G634" s="6" t="str">
        <x:v>Азот – 7,0%, фосфор – 7,0%, калий – 7,0%; Микроэлементы: бор – 100–300 мг/кг, медь – 100–300 мг/кг; Природный витамин роста Гуми–20 – 0,6%, ферментированное органическое вещество – 20%.</x:v>
      </x:c>
      <x:c r="H634" s="6" t="str">
        <x:v>Есть сведения; см. ограничения</x:v>
      </x:c>
      <x:c r="I634" s="6" t="str">
        <x:v>Порошок</x:v>
      </x:c>
      <x:c r="J634" s="12" t="n">
        <x:v>1</x:v>
      </x:c>
      <x:c r="K634" s="6" t="str">
        <x:v>См. коды и ограничения на листе «Сопоставления»</x:v>
      </x:c>
      <x:c r="L634" s="6"/>
      <x:c r="M634" s="13" t="str">
        <x:v>https://www.bashinkom.ru/products/ojz/FIKUSPALMAGumiOMI50g</x:v>
      </x:c>
      <x:c r="N634" s="13"/>
    </x:row>
    <x:row r="635" ht="68" customHeight="1">
      <x:c r="A635" s="9" t="str">
        <x:v>P0630</x:v>
      </x:c>
      <x:c r="B635" s="9" t="str">
        <x:v>БашИнком</x:v>
      </x:c>
      <x:c r="C635" s="9" t="str">
        <x:v>Гуми-Оми Фосфор</x:v>
      </x:c>
      <x:c r="D635" s="9" t="str">
        <x:v>Средство для растений/почвы</x:v>
      </x:c>
      <x:c r="E635" s="9" t="str">
        <x:v>Розничный каталог</x:v>
      </x:c>
      <x:c r="F635" s="9" t="str">
        <x:v>G27</x:v>
      </x:c>
      <x:c r="G635" s="9" t="str">
        <x:v>Фосфорное удобрение, компост на основе куриного помёта, микроэлементы B, Cu, удобрение Гуми.</x:v>
      </x:c>
      <x:c r="H635" s="9" t="str">
        <x:v>Есть сведения; см. ограничения</x:v>
      </x:c>
      <x:c r="I635" s="9" t="str">
        <x:v>Порошок</x:v>
      </x:c>
      <x:c r="J635" s="10" t="n">
        <x:v>1</x:v>
      </x:c>
      <x:c r="K635" s="9" t="str">
        <x:v>См. коды и ограничения на листе «Сопоставления»</x:v>
      </x:c>
      <x:c r="L635" s="9"/>
      <x:c r="M635" s="11" t="str">
        <x:v>https://www.bashinkom.ru/products/ojz/FOSFORSUPERFOSFATGUMIOMI05kg</x:v>
      </x:c>
      <x:c r="N635" s="11"/>
    </x:row>
    <x:row r="636" ht="68" customHeight="1">
      <x:c r="A636" s="6" t="str">
        <x:v>P0631</x:v>
      </x:c>
      <x:c r="B636" s="6" t="str">
        <x:v>БашИнком</x:v>
      </x:c>
      <x:c r="C636" s="6" t="str">
        <x:v>Гуми–Оми Хвойные</x:v>
      </x:c>
      <x:c r="D636" s="6" t="str">
        <x:v>Средство для растений/почвы</x:v>
      </x:c>
      <x:c r="E636" s="6" t="str">
        <x:v>Розничный каталог</x:v>
      </x:c>
      <x:c r="F636" s="6" t="str">
        <x:v>C09</x:v>
      </x:c>
      <x:c r="G636" s="6" t="str">
        <x:v>Компост на основе куриного помёта, N,P,K удобрения, микроэлементы B, Cu, удобрение Гуми.</x:v>
      </x:c>
      <x:c r="H636" s="6" t="str">
        <x:v>Есть сведения; см. ограничения</x:v>
      </x:c>
      <x:c r="I636" s="6" t="str">
        <x:v>Порошок</x:v>
      </x:c>
      <x:c r="J636" s="12" t="n">
        <x:v>1</x:v>
      </x:c>
      <x:c r="K636" s="6" t="str">
        <x:v>См. коды и ограничения на листе «Сопоставления»</x:v>
      </x:c>
      <x:c r="L636" s="6"/>
      <x:c r="M636" s="13" t="str">
        <x:v>https://www.bashinkom.ru/products/ojz/KHvoynyeGumiOMI05kg</x:v>
      </x:c>
      <x:c r="N636" s="13"/>
    </x:row>
    <x:row r="637" ht="68" customHeight="1">
      <x:c r="A637" s="9" t="str">
        <x:v>P0632</x:v>
      </x:c>
      <x:c r="B637" s="9" t="str">
        <x:v>БашИнком</x:v>
      </x:c>
      <x:c r="C637" s="9" t="str">
        <x:v>Гуми–Оми Цветы садовые Универсал</x:v>
      </x:c>
      <x:c r="D637" s="9" t="str">
        <x:v>Средство для растений/почвы</x:v>
      </x:c>
      <x:c r="E637" s="9" t="str">
        <x:v>Розничный каталог</x:v>
      </x:c>
      <x:c r="F637" s="9" t="str">
        <x:v>C01; C17</x:v>
      </x:c>
      <x:c r="G637" s="9" t="str">
        <x:v>Компост на основе куриного помёта, N,P,K удобрения, микроэлементы B, Cu, удобрение Гуми.</x:v>
      </x:c>
      <x:c r="H637" s="9" t="str">
        <x:v>Есть сведения; см. ограничения</x:v>
      </x:c>
      <x:c r="I637" s="9" t="str">
        <x:v>Порошок.</x:v>
      </x:c>
      <x:c r="J637" s="10" t="n">
        <x:v>1</x:v>
      </x:c>
      <x:c r="K637" s="9" t="str">
        <x:v>См. коды и ограничения на листе «Сопоставления»</x:v>
      </x:c>
      <x:c r="L637" s="9"/>
      <x:c r="M637" s="11" t="str">
        <x:v>https://www.bashinkom.ru/products/ojz/TSvetysadovyeUNIVERSALGumiOMI50g</x:v>
      </x:c>
      <x:c r="N637" s="11"/>
    </x:row>
    <x:row r="638" ht="68" customHeight="1">
      <x:c r="A638" s="6" t="str">
        <x:v>P0633</x:v>
      </x:c>
      <x:c r="B638" s="6" t="str">
        <x:v>БашИнком</x:v>
      </x:c>
      <x:c r="C638" s="6" t="str">
        <x:v>Гуми-Оми Ягодный-Земляника-Клубника-Малина-Смородина</x:v>
      </x:c>
      <x:c r="D638" s="6" t="str">
        <x:v>Средство для растений/почвы</x:v>
      </x:c>
      <x:c r="E638" s="6" t="str">
        <x:v>Розничный каталог</x:v>
      </x:c>
      <x:c r="F638" s="6" t="str">
        <x:v>C05</x:v>
      </x:c>
      <x:c r="G638" s="6" t="str">
        <x:v>Компост на основе куриного помёта, N,P,K удобрения, микроэлементы B, Cu, удобрение Гуми.</x:v>
      </x:c>
      <x:c r="H638" s="6" t="str">
        <x:v>Есть сведения; см. ограничения</x:v>
      </x:c>
      <x:c r="I638" s="6" t="str">
        <x:v>Порошок</x:v>
      </x:c>
      <x:c r="J638" s="12" t="n">
        <x:v>1</x:v>
      </x:c>
      <x:c r="K638" s="6" t="str">
        <x:v>См. коды и ограничения на листе «Сопоставления»</x:v>
      </x:c>
      <x:c r="L638" s="6"/>
      <x:c r="M638" s="13" t="str">
        <x:v>https://www.bashinkom.ru/products/ojz/GumiOmiYAGODNYYZemlyanikaKlubnikaMalinaSmorodina07kg</x:v>
      </x:c>
      <x:c r="N638" s="13"/>
    </x:row>
    <x:row r="639" ht="68" customHeight="1">
      <x:c r="A639" s="9" t="str">
        <x:v>P0634</x:v>
      </x:c>
      <x:c r="B639" s="9" t="str">
        <x:v>БашИнком</x:v>
      </x:c>
      <x:c r="C639" s="9" t="str">
        <x:v>Гуми–Оми, Богатейшее удобрение газон</x:v>
      </x:c>
      <x:c r="D639" s="9" t="str">
        <x:v>Средство для растений/почвы</x:v>
      </x:c>
      <x:c r="E639" s="9" t="str">
        <x:v>Розничный каталог</x:v>
      </x:c>
      <x:c r="F639" s="9" t="str">
        <x:v>C10</x:v>
      </x:c>
      <x:c r="G639" s="9" t="str">
        <x:v>Компост на основе куриного помёта, N,P,K удобрения, микроэлементы B, Cu, удобрение Гуми.</x:v>
      </x:c>
      <x:c r="H639" s="9" t="str">
        <x:v>Есть сведения; см. ограничения</x:v>
      </x:c>
      <x:c r="I639" s="9" t="str">
        <x:v>Порошок</x:v>
      </x:c>
      <x:c r="J639" s="10" t="n">
        <x:v>1</x:v>
      </x:c>
      <x:c r="K639" s="9" t="str">
        <x:v>См. коды и ограничения на листе «Сопоставления»</x:v>
      </x:c>
      <x:c r="L639" s="9"/>
      <x:c r="M639" s="11" t="str">
        <x:v>https://www.bashinkom.ru/products/ojz/GAZONGumiOMIBOGATEYSHEEudobrenie1kg</x:v>
      </x:c>
      <x:c r="N639" s="11"/>
    </x:row>
    <x:row r="640" ht="68" customHeight="1">
      <x:c r="A640" s="6" t="str">
        <x:v>P0635</x:v>
      </x:c>
      <x:c r="B640" s="6" t="str">
        <x:v>БашИнком</x:v>
      </x:c>
      <x:c r="C640" s="6" t="str">
        <x:v>Гуми-Оми. Многолетние цветы</x:v>
      </x:c>
      <x:c r="D640" s="6" t="str">
        <x:v>Средство для растений/почвы</x:v>
      </x:c>
      <x:c r="E640" s="6" t="str">
        <x:v>Розничный каталог</x:v>
      </x:c>
      <x:c r="F640" s="6" t="str">
        <x:v>C17</x:v>
      </x:c>
      <x:c r="G640" s="6" t="str">
        <x:v>Компост на основе куриного помёта, N,P,K удобрения, микроэлементы B, Cu, удобрение Гуми.</x:v>
      </x:c>
      <x:c r="H640" s="6" t="str">
        <x:v>Есть сведения; см. ограничения</x:v>
      </x:c>
      <x:c r="I640" s="6" t="str">
        <x:v>Порошок</x:v>
      </x:c>
      <x:c r="J640" s="12" t="n">
        <x:v>1</x:v>
      </x:c>
      <x:c r="K640" s="6" t="str">
        <x:v>См. коды и ограничения на листе «Сопоставления»</x:v>
      </x:c>
      <x:c r="L640" s="6"/>
      <x:c r="M640" s="13" t="str">
        <x:v>https://www.bashinkom.ru/products/ojz/MnogoletnietsvetyGumiOmi50g</x:v>
      </x:c>
      <x:c r="N640" s="13"/>
    </x:row>
    <x:row r="641" ht="124" customHeight="1">
      <x:c r="A641" s="9" t="str">
        <x:v>P0636</x:v>
      </x:c>
      <x:c r="B641" s="9" t="str">
        <x:v>БашИнком</x:v>
      </x:c>
      <x:c r="C641" s="9" t="str">
        <x:v>Дар Плодородия – концентрат биоактивированного гумусного удобрения</x:v>
      </x:c>
      <x:c r="D641" s="9" t="str">
        <x:v>Средство для растений/почвы</x:v>
      </x:c>
      <x:c r="E641" s="9" t="str">
        <x:v>Розничный каталог</x:v>
      </x:c>
      <x:c r="F641" s="9" t="str">
        <x:v>G09; G39</x:v>
      </x:c>
      <x:c r="G641" s="9" t="str">
        <x:v>ГУМИ–30 до 30%; Фитоспорин–М до 1%; микроэлементы в биологической хелатной форме: Co – 0,0003%, Mn – 0,01%, Zn – 0,003%, Cu – 0,003%, Ni – 0,0003%, Cr – 0,0003%, а так же в природной минеральной форме: B – 0,01%, Mo – 0,0003%, Li – 0,0003%, Se – 0,00003%; более 80 микроэлементов и минералов природного происхождения, в т.ч. редкоземельные элементы; макроэлементы: азот – 1%, фосфор – 1%, калий – 2%.</x:v>
      </x:c>
      <x:c r="H641" s="9" t="str">
        <x:v>Есть сведения; см. ограничения</x:v>
      </x:c>
      <x:c r="I641" s="9" t="str">
        <x:v>Паста</x:v>
      </x:c>
      <x:c r="J641" s="10" t="n">
        <x:v>1</x:v>
      </x:c>
      <x:c r="K641" s="9" t="str">
        <x:v>См. коды и ограничения на листе «Сопоставления»</x:v>
      </x:c>
      <x:c r="L641" s="9"/>
      <x:c r="M641" s="11" t="str">
        <x:v>https://www.bashinkom.ru/products/ojz/DARPLODORODIYAkontsentratbioaktivirovannogogumusnogoudobreniya05kg</x:v>
      </x:c>
      <x:c r="N641" s="11"/>
    </x:row>
    <x:row r="642" ht="68" customHeight="1">
      <x:c r="A642" s="6" t="str">
        <x:v>P0637</x:v>
      </x:c>
      <x:c r="B642" s="6" t="str">
        <x:v>БашИнком</x:v>
      </x:c>
      <x:c r="C642" s="6" t="str">
        <x:v>Доктор Сад – Лечебная побелка садовая</x:v>
      </x:c>
      <x:c r="D642" s="6" t="str">
        <x:v>Средство для растений/почвы</x:v>
      </x:c>
      <x:c r="E642" s="6" t="str">
        <x:v>Розничный каталог</x:v>
      </x:c>
      <x:c r="F642" s="6" t="str">
        <x:v>—</x:v>
      </x:c>
      <x:c r="G642" s="6" t="str">
        <x:v>Природная известь с природными заживляющими, иммуностимулирующими эликсирами (удобрение Гуми).</x:v>
      </x:c>
      <x:c r="H642" s="6" t="str">
        <x:v>Есть сведения; см. ограничения</x:v>
      </x:c>
      <x:c r="I642" s="6" t="str">
        <x:v>Паста</x:v>
      </x:c>
      <x:c r="J642" s="12" t="n">
        <x:v>1</x:v>
      </x:c>
      <x:c r="K642" s="6" t="str">
        <x:v>Близкий аналог не подтвержден</x:v>
      </x:c>
      <x:c r="L642" s="6"/>
      <x:c r="M642" s="13" t="str">
        <x:v>https://www.bashinkom.ru/products/ojz/DoktorSadLechebnayapobelkasadovaya1kg</x:v>
      </x:c>
      <x:c r="N642" s="13"/>
    </x:row>
    <x:row r="643" ht="68" customHeight="1">
      <x:c r="A643" s="9" t="str">
        <x:v>P0638</x:v>
      </x:c>
      <x:c r="B643" s="9" t="str">
        <x:v>БашИнком</x:v>
      </x:c>
      <x:c r="C643" s="9" t="str">
        <x:v>ДРЕНАЖ КЕРАМЗИТОВЫЙ крупный</x:v>
      </x:c>
      <x:c r="D643" s="9" t="str">
        <x:v>Средство для растений/почвы</x:v>
      </x:c>
      <x:c r="E643" s="9" t="str">
        <x:v>Розничный каталог</x:v>
      </x:c>
      <x:c r="F643" s="9" t="str">
        <x:v>G36</x:v>
      </x:c>
      <x:c r="G643" s="9" t="str">
        <x:v>Гравий керамзитовый ГОСТ 9757-90, размер 5-40 мм.</x:v>
      </x:c>
      <x:c r="H643" s="9" t="str">
        <x:v>Есть сведения; см. ограничения</x:v>
      </x:c>
      <x:c r="I643" s="9" t="str">
        <x:v>Гравий фракции 5-40 мм.</x:v>
      </x:c>
      <x:c r="J643" s="10" t="n">
        <x:v>1</x:v>
      </x:c>
      <x:c r="K643" s="9" t="str">
        <x:v>См. коды и ограничения на листе «Сопоставления»</x:v>
      </x:c>
      <x:c r="L643" s="9"/>
      <x:c r="M643" s="11" t="str">
        <x:v>https://www.bashinkom.ru/products/ojz/DRENAZHKERAMZITOVYYkrupnyy2l</x:v>
      </x:c>
      <x:c r="N643" s="11"/>
    </x:row>
    <x:row r="644" ht="68" customHeight="1">
      <x:c r="A644" s="6" t="str">
        <x:v>P0639</x:v>
      </x:c>
      <x:c r="B644" s="6" t="str">
        <x:v>БашИнком</x:v>
      </x:c>
      <x:c r="C644" s="6" t="str">
        <x:v>Дренаж Керамзитовый средний</x:v>
      </x:c>
      <x:c r="D644" s="6" t="str">
        <x:v>Средство для растений/почвы</x:v>
      </x:c>
      <x:c r="E644" s="6" t="str">
        <x:v>Розничный каталог</x:v>
      </x:c>
      <x:c r="F644" s="6" t="str">
        <x:v>G36</x:v>
      </x:c>
      <x:c r="G644" s="6" t="str">
        <x:v>Гравий керамзитовый ГОСТ 9757-90, размер 2,5-10 см.</x:v>
      </x:c>
      <x:c r="H644" s="6" t="str">
        <x:v>Есть сведения; см. ограничения</x:v>
      </x:c>
      <x:c r="I644" s="6" t="str">
        <x:v>Гравий фракции 2,5–10 мм</x:v>
      </x:c>
      <x:c r="J644" s="12" t="n">
        <x:v>1</x:v>
      </x:c>
      <x:c r="K644" s="6" t="str">
        <x:v>См. коды и ограничения на листе «Сопоставления»</x:v>
      </x:c>
      <x:c r="L644" s="6"/>
      <x:c r="M644" s="13" t="str">
        <x:v>https://www.bashinkom.ru/products/ojz/DrenazhKeramzitovyysredniy1l</x:v>
      </x:c>
      <x:c r="N644" s="13"/>
    </x:row>
    <x:row r="645" ht="68" customHeight="1">
      <x:c r="A645" s="9" t="str">
        <x:v>P0640</x:v>
      </x:c>
      <x:c r="B645" s="9" t="str">
        <x:v>БашИнком</x:v>
      </x:c>
      <x:c r="C645" s="9" t="str">
        <x:v>Жидкая микориза Башинком</x:v>
      </x:c>
      <x:c r="D645" s="9" t="str">
        <x:v>Средство для растений/почвы</x:v>
      </x:c>
      <x:c r="E645" s="9" t="str">
        <x:v>Профессиональная линия</x:v>
      </x:c>
      <x:c r="F645" s="9" t="str">
        <x:v>G12</x:v>
      </x:c>
      <x:c r="G645" s="9" t="str">
        <x:v>Природные эндомикоризные грибы рода Rhizophagus irregularis , титр не менее 2*105 спор/мл, фитогормоны</x:v>
      </x:c>
      <x:c r="H645" s="9" t="str">
        <x:v>Есть сведения; см. ограничения</x:v>
      </x:c>
      <x:c r="I645" s="9" t="str">
        <x:v>Жидкость</x:v>
      </x:c>
      <x:c r="J645" s="10" t="n">
        <x:v>1</x:v>
      </x:c>
      <x:c r="K645" s="9" t="str">
        <x:v>См. коды и ограничения на листе «Сопоставления»</x:v>
      </x:c>
      <x:c r="L645" s="9"/>
      <x:c r="M645" s="11" t="str">
        <x:v>https://www.bashinkom.ru/products/avz/ZHidkayamikorizaBashinkom</x:v>
      </x:c>
      <x:c r="N645" s="11"/>
    </x:row>
    <x:row r="646" ht="68" customHeight="1">
      <x:c r="A646" s="6" t="str">
        <x:v>P0641</x:v>
      </x:c>
      <x:c r="B646" s="6" t="str">
        <x:v>БашИнком</x:v>
      </x:c>
      <x:c r="C646" s="6" t="str">
        <x:v>Земля-Матушка для Бобовых</x:v>
      </x:c>
      <x:c r="D646" s="6" t="str">
        <x:v>Средство для растений/почвы</x:v>
      </x:c>
      <x:c r="E646" s="6" t="str">
        <x:v>Розничный каталог</x:v>
      </x:c>
      <x:c r="F646" s="6" t="str">
        <x:v>G37</x:v>
      </x:c>
      <x:c r="G646" s="6" t="str">
        <x:v>Торф низинный и верховой с клубеньковыми бактериями для бобовых , ферментированное органическое удобрение, эликсир плодородия Гуми и полезнейшая дружественная микрофлора.</x:v>
      </x:c>
      <x:c r="H646" s="6" t="str">
        <x:v>Есть сведения; см. ограничения</x:v>
      </x:c>
      <x:c r="I646" s="6" t="str">
        <x:v>Почвогрунт</x:v>
      </x:c>
      <x:c r="J646" s="12" t="n">
        <x:v>1</x:v>
      </x:c>
      <x:c r="K646" s="6" t="str">
        <x:v>См. коды и ограничения на листе «Сопоставления»</x:v>
      </x:c>
      <x:c r="L646" s="6"/>
      <x:c r="M646" s="13" t="str">
        <x:v>https://www.bashinkom.ru/products/ojz/ZemlyaMatushkadlyaBobovykh3l</x:v>
      </x:c>
      <x:c r="N646" s="13"/>
    </x:row>
    <x:row r="647" ht="124" customHeight="1">
      <x:c r="A647" s="9" t="str">
        <x:v>P0642</x:v>
      </x:c>
      <x:c r="B647" s="9" t="str">
        <x:v>БашИнком</x:v>
      </x:c>
      <x:c r="C647" s="9" t="str">
        <x:v>Земля-Матушка СуперЭлита</x:v>
      </x:c>
      <x:c r="D647" s="9" t="str">
        <x:v>Средство для растений/почвы</x:v>
      </x:c>
      <x:c r="E647" s="9" t="str">
        <x:v>Розничный каталог</x:v>
      </x:c>
      <x:c r="F647" s="9" t="str">
        <x:v>G37</x:v>
      </x:c>
      <x:c r="G647" s="9" t="str">
        <x:v>Полный набор питательных веществ (NPK), верховой и низинный торф, эликсир плодородия Гуми, жизненно важные микроэлементы, ферментированное органическое удобрение Бионекс-1, полезнейшая дружественная микрофлора, почвенные микроорганизмы и их метаболиты, экстракт из морских водорослей, природные биологически активные вещества (БАВ). Массовое содержание питательных веществ: органическое вещество – не менее 60%; макроэлементы в… (сокращено)</x:v>
      </x:c>
      <x:c r="H647" s="9" t="str">
        <x:v>Есть сведения; см. ограничения</x:v>
      </x:c>
      <x:c r="I647" s="9" t="str">
        <x:v>Почвогрунт</x:v>
      </x:c>
      <x:c r="J647" s="10" t="n">
        <x:v>1</x:v>
      </x:c>
      <x:c r="K647" s="9" t="str">
        <x:v>См. коды и ограничения на листе «Сопоставления»</x:v>
      </x:c>
      <x:c r="L647" s="9"/>
      <x:c r="M647" s="11" t="str">
        <x:v>https://www.bashinkom.ru/products/ojz/SuperElita</x:v>
      </x:c>
      <x:c r="N647" s="11"/>
    </x:row>
    <x:row r="648" ht="124" customHeight="1">
      <x:c r="A648" s="6" t="str">
        <x:v>P0643</x:v>
      </x:c>
      <x:c r="B648" s="6" t="str">
        <x:v>БашИнком</x:v>
      </x:c>
      <x:c r="C648" s="6" t="str">
        <x:v>Земля–Матушка Универсальная для рассады, зелени и цветов</x:v>
      </x:c>
      <x:c r="D648" s="6" t="str">
        <x:v>Средство для растений/почвы</x:v>
      </x:c>
      <x:c r="E648" s="6" t="str">
        <x:v>Розничный каталог</x:v>
      </x:c>
      <x:c r="F648" s="6" t="str">
        <x:v>G37</x:v>
      </x:c>
      <x:c r="G648" s="6" t="str">
        <x:v>Почвогунт. Полный набор питательных веществ (NPK); микроэлементы (B, Cu, Zn, Mn, Mo, Co и др.); ченозёмный, тучный, гумифицироанный, зрелый торф; ферментированное органическое удобрение; природное гумусное удобрение Хозяин–Батюшка; эликсир плодородия Гуми и полезнейшая дружественная микрофлора; природные легкие разрыхлители. Содержит: азот – не менее 40 мг/ кг, фосфор – не менее 30 мг/кг, калий – не менее 30 мг/кг;… (сокращено)</x:v>
      </x:c>
      <x:c r="H648" s="6" t="str">
        <x:v>Есть сведения; см. ограничения</x:v>
      </x:c>
      <x:c r="I648" s="6" t="str">
        <x:v>Почвогрунт</x:v>
      </x:c>
      <x:c r="J648" s="12" t="n">
        <x:v>1</x:v>
      </x:c>
      <x:c r="K648" s="6" t="str">
        <x:v>См. коды и ограничения на листе «Сопоставления»</x:v>
      </x:c>
      <x:c r="L648" s="6"/>
      <x:c r="M648" s="13" t="str">
        <x:v>https://www.bashinkom.ru/products/ojz/ZemlyaMatushkaUniversalnayadlyarassadyzeleniitsvetov3l</x:v>
      </x:c>
      <x:c r="N648" s="13"/>
    </x:row>
    <x:row r="649" ht="124" customHeight="1">
      <x:c r="A649" s="9" t="str">
        <x:v>P0644</x:v>
      </x:c>
      <x:c r="B649" s="9" t="str">
        <x:v>БашИнком</x:v>
      </x:c>
      <x:c r="C649" s="9" t="str">
        <x:v>Земля–Матушка Цветочная–Универсальная</x:v>
      </x:c>
      <x:c r="D649" s="9" t="str">
        <x:v>Средство для растений/почвы</x:v>
      </x:c>
      <x:c r="E649" s="9" t="str">
        <x:v>Розничный каталог</x:v>
      </x:c>
      <x:c r="F649" s="9" t="str">
        <x:v>G37</x:v>
      </x:c>
      <x:c r="G649" s="9" t="str">
        <x:v>Почвогунт. Полный набор питательных веществ (NPK); микроэлементы (B, Cu, Zn, Mn, Mo, Co и др.); ченозёмный, тучный, гумифицироанный, зрелый торф; ферментированное органическое удобрение; природное гумусное удобрение Хозяин–Батюшка; эликсир плодородия Гуми и полезнейшая дружественная микрофлора; природные легкие разрыхлители. Содержит: азот – не менее 50 мг/ кг, фосфор – не менее 40 мг/кг, калий – не менее 50 мг/кг;… (сокращено)</x:v>
      </x:c>
      <x:c r="H649" s="9" t="str">
        <x:v>Есть сведения; см. ограничения</x:v>
      </x:c>
      <x:c r="I649" s="9" t="str">
        <x:v>Почвогрунт</x:v>
      </x:c>
      <x:c r="J649" s="10" t="n">
        <x:v>1</x:v>
      </x:c>
      <x:c r="K649" s="9" t="str">
        <x:v>См. коды и ограничения на листе «Сопоставления»</x:v>
      </x:c>
      <x:c r="L649" s="9"/>
      <x:c r="M649" s="11" t="str">
        <x:v>https://www.bashinkom.ru/products/ojz/ZemlyaMatushkaTSvetochnayaUniversalnaya3l</x:v>
      </x:c>
      <x:c r="N649" s="11"/>
    </x:row>
    <x:row r="650" ht="110" customHeight="1">
      <x:c r="A650" s="6" t="str">
        <x:v>P0645</x:v>
      </x:c>
      <x:c r="B650" s="6" t="str">
        <x:v>БашИнком</x:v>
      </x:c>
      <x:c r="C650" s="6" t="str">
        <x:v>Кактус–Алоэ Земля–Матушка для кактусов, алоэ, каланхоэ, агавы</x:v>
      </x:c>
      <x:c r="D650" s="6" t="str">
        <x:v>Средство для растений/почвы</x:v>
      </x:c>
      <x:c r="E650" s="6" t="str">
        <x:v>Розничный каталог</x:v>
      </x:c>
      <x:c r="F650" s="6" t="str">
        <x:v>G37</x:v>
      </x:c>
      <x:c r="G650" s="6" t="str">
        <x:v>Почвогунт. Полный набор питательных веществ, природный макро- и микроэлементов, торф, ферментированное органическое удобрение Бионекс, эликсир плодородия Гуми, полезная дружественная микрофлора, природные керамические микропористые разрыхлители. Содержит: азот – 50 мг/кг, фосфор – 15 мг/кг, калий – 45 мг/кг; ферментированное органическое вещество – 30%.</x:v>
      </x:c>
      <x:c r="H650" s="6" t="str">
        <x:v>Есть сведения; см. ограничения</x:v>
      </x:c>
      <x:c r="I650" s="6" t="str">
        <x:v>Почвогрунт</x:v>
      </x:c>
      <x:c r="J650" s="12" t="n">
        <x:v>1</x:v>
      </x:c>
      <x:c r="K650" s="6" t="str">
        <x:v>См. коды и ограничения на листе «Сопоставления»</x:v>
      </x:c>
      <x:c r="L650" s="6"/>
      <x:c r="M650" s="13" t="str">
        <x:v>https://www.bashinkom.ru/products/ojz/KaktusAloeZemlyaMatushkadlyakaktusovaloekalankhoeagavy3l</x:v>
      </x:c>
      <x:c r="N650" s="13"/>
    </x:row>
    <x:row r="651" ht="68" customHeight="1">
      <x:c r="A651" s="9" t="str">
        <x:v>P0646</x:v>
      </x:c>
      <x:c r="B651" s="9" t="str">
        <x:v>БашИнком</x:v>
      </x:c>
      <x:c r="C651" s="9" t="str">
        <x:v>Комплексное удобрение с зеленым хелатором БИЯК Бионекс-кеми Универсальный</x:v>
      </x:c>
      <x:c r="D651" s="9" t="str">
        <x:v>Средство для растений/почвы</x:v>
      </x:c>
      <x:c r="E651" s="9" t="str">
        <x:v>Профессиональная линия</x:v>
      </x:c>
      <x:c r="F651" s="9" t="str">
        <x:v>G35; C01</x:v>
      </x:c>
      <x:c r="G651" s="9" t="str">
        <x:v>NPK 10:10:10. Микроэлементный комплекс, не менее S-0,04 %, В-0,008 %, Cu-0,016 %, Zn-0,008 %, Mn-0,008 %, Mo-0,0016 %, Co-0,0016 %, в том числе хелатной форме Cu, Zn, Mn, Со</x:v>
      </x:c>
      <x:c r="H651" s="9" t="str">
        <x:v>Есть сведения; см. ограничения</x:v>
      </x:c>
      <x:c r="I651" s="9" t="str">
        <x:v>Жидкость</x:v>
      </x:c>
      <x:c r="J651" s="10" t="n">
        <x:v>1</x:v>
      </x:c>
      <x:c r="K651" s="9" t="str">
        <x:v>См. коды и ограничения на листе «Сопоставления»</x:v>
      </x:c>
      <x:c r="L651" s="9"/>
      <x:c r="M651" s="11" t="str">
        <x:v>https://www.bashinkom.ru/products/prodecor/KompleksnoeudobrenieszelenymkhelatoromBIYAKBionekskemiUniversalnyy</x:v>
      </x:c>
      <x:c r="N651" s="11"/>
    </x:row>
    <x:row r="652" ht="82" customHeight="1">
      <x:c r="A652" s="6" t="str">
        <x:v>P0647</x:v>
      </x:c>
      <x:c r="B652" s="6" t="str">
        <x:v>БашИнком</x:v>
      </x:c>
      <x:c r="C652" s="6" t="str">
        <x:v>Комплексное универсальное удобрение для всех садово-огородных культур Бионекс-Кеми 18:18:18 + 1,1</x:v>
      </x:c>
      <x:c r="D652" s="6" t="str">
        <x:v>Средство для растений/почвы</x:v>
      </x:c>
      <x:c r="E652" s="6" t="str">
        <x:v>Розничный каталог</x:v>
      </x:c>
      <x:c r="F652" s="6" t="str">
        <x:v>G35; C01</x:v>
      </x:c>
      <x:c r="G652" s="6" t="str">
        <x:v>Азот общий – 18 %, фосфор общий – 18 %, калий общий – 18 %. Микроэлементы: сера – 4 %, магний – 1,1 %, бор – 0,025 %, молибден – 0,001 %; в хелатной форме: кобальт – 0,001 %, медь – 0,01 %, железо – 0,06 % и марганец – 0,05 %.</x:v>
      </x:c>
      <x:c r="H652" s="6" t="str">
        <x:v>Есть сведения; см. ограничения</x:v>
      </x:c>
      <x:c r="I652" s="6" t="str">
        <x:v>Порошок</x:v>
      </x:c>
      <x:c r="J652" s="12" t="n">
        <x:v>1</x:v>
      </x:c>
      <x:c r="K652" s="6" t="str">
        <x:v>См. коды и ограничения на листе «Сопоставления»</x:v>
      </x:c>
      <x:c r="L652" s="6"/>
      <x:c r="M652" s="13" t="str">
        <x:v>https://www.bashinkom.ru/products/ojz/KompleksnoeuniversalnoeudobreniedlyavsekhsadovoogorodnykhkulturBioneksKemi18181811200g</x:v>
      </x:c>
      <x:c r="N652" s="13"/>
    </x:row>
    <x:row r="653" ht="68" customHeight="1">
      <x:c r="A653" s="9" t="str">
        <x:v>P0648</x:v>
      </x:c>
      <x:c r="B653" s="9" t="str">
        <x:v>БашИнком</x:v>
      </x:c>
      <x:c r="C653" s="9" t="str">
        <x:v>Комплексное универсальное удобрение для комнатных растений Бионекс-Кеми водорастворимый</x:v>
      </x:c>
      <x:c r="D653" s="9" t="str">
        <x:v>Средство для растений/почвы</x:v>
      </x:c>
      <x:c r="E653" s="9" t="str">
        <x:v>Розничный каталог</x:v>
      </x:c>
      <x:c r="F653" s="9" t="str">
        <x:v>G35; C01; C11</x:v>
      </x:c>
      <x:c r="G653" s="9" t="str">
        <x:v>Содержит азот – 18%, фосфор – 18%, калий – 18%, сера – 4%, магний – 1,1%; микроэлементы: бор – 250 мг/кг, молибден – 10 мг/кг, кобальт – 10 мг/кг, медь – 100 мг/кг, железо – 600 мг/кг и марганец – 500 мг/кг.</x:v>
      </x:c>
      <x:c r="H653" s="9" t="str">
        <x:v>Есть сведения; см. ограничения</x:v>
      </x:c>
      <x:c r="I653" s="9" t="str">
        <x:v>Порошок</x:v>
      </x:c>
      <x:c r="J653" s="10" t="n">
        <x:v>1</x:v>
      </x:c>
      <x:c r="K653" s="9" t="str">
        <x:v>См. коды и ограничения на листе «Сопоставления»</x:v>
      </x:c>
      <x:c r="L653" s="9"/>
      <x:c r="M653" s="11" t="str">
        <x:v>https://www.bashinkom.ru/products/ojz/KompleksnoeuniversalnoeudobreniedlyakomnatnykhrasteniyBioneksKemivodorastvorimyy50g</x:v>
      </x:c>
      <x:c r="N653" s="11"/>
    </x:row>
    <x:row r="654" ht="68" customHeight="1">
      <x:c r="A654" s="6" t="str">
        <x:v>P0649</x:v>
      </x:c>
      <x:c r="B654" s="6" t="str">
        <x:v>БашИнком</x:v>
      </x:c>
      <x:c r="C654" s="6" t="str">
        <x:v>Компостин – ускоритель созревания компоста</x:v>
      </x:c>
      <x:c r="D654" s="6" t="str">
        <x:v>Средство для растений/почвы</x:v>
      </x:c>
      <x:c r="E654" s="6" t="str">
        <x:v>Розничный каталог</x:v>
      </x:c>
      <x:c r="F654" s="6" t="str">
        <x:v>G11</x:v>
      </x:c>
      <x:c r="G654" s="6" t="str">
        <x:v>Водный раствор компостированного куриного помёта, азотное удобрение, удобрение Гуми с микроэлементами, полезная микрофлора.</x:v>
      </x:c>
      <x:c r="H654" s="6" t="str">
        <x:v>Есть сведения; см. ограничения</x:v>
      </x:c>
      <x:c r="I654" s="6" t="str">
        <x:v>Жидкость</x:v>
      </x:c>
      <x:c r="J654" s="12" t="n">
        <x:v>1</x:v>
      </x:c>
      <x:c r="K654" s="6" t="str">
        <x:v>См. коды и ограничения на листе «Сопоставления»</x:v>
      </x:c>
      <x:c r="L654" s="6"/>
      <x:c r="M654" s="13" t="str">
        <x:v>https://www.bashinkom.ru/products/ojz/Kompostinuskoritelsozrevaniyakomposta05l</x:v>
      </x:c>
      <x:c r="N654" s="13"/>
    </x:row>
    <x:row r="655" ht="68" customHeight="1">
      <x:c r="A655" s="9" t="str">
        <x:v>P0650</x:v>
      </x:c>
      <x:c r="B655" s="9" t="str">
        <x:v>БашИнком</x:v>
      </x:c>
      <x:c r="C655" s="9" t="str">
        <x:v>Компостин сухой</x:v>
      </x:c>
      <x:c r="D655" s="9" t="str">
        <x:v>Средство для растений/почвы</x:v>
      </x:c>
      <x:c r="E655" s="9" t="str">
        <x:v>Розничный каталог</x:v>
      </x:c>
      <x:c r="F655" s="9" t="str">
        <x:v>G11</x:v>
      </x:c>
      <x:c r="G655" s="9" t="str">
        <x:v>Компостированный куриный помёт, азотное удобрение, гумат натрия, полезная микрофлора.</x:v>
      </x:c>
      <x:c r="H655" s="9" t="str">
        <x:v>Есть сведения; см. ограничения</x:v>
      </x:c>
      <x:c r="I655" s="9" t="str">
        <x:v>Порошок</x:v>
      </x:c>
      <x:c r="J655" s="10" t="n">
        <x:v>1</x:v>
      </x:c>
      <x:c r="K655" s="9" t="str">
        <x:v>См. коды и ограничения на листе «Сопоставления»</x:v>
      </x:c>
      <x:c r="L655" s="9"/>
      <x:c r="M655" s="11" t="str">
        <x:v>https://www.bashinkom.ru/products/ojz/Kompostinuskoritelsozrevaniyakompostaporoshok</x:v>
      </x:c>
      <x:c r="N655" s="11"/>
    </x:row>
    <x:row r="656" ht="68" customHeight="1">
      <x:c r="A656" s="6" t="str">
        <x:v>P0651</x:v>
      </x:c>
      <x:c r="B656" s="6" t="str">
        <x:v>БашИнком</x:v>
      </x:c>
      <x:c r="C656" s="6" t="str">
        <x:v>Кормилица Микориза</x:v>
      </x:c>
      <x:c r="D656" s="6" t="str">
        <x:v>Средство для растений/почвы</x:v>
      </x:c>
      <x:c r="E656" s="6" t="str">
        <x:v>Розничный каталог</x:v>
      </x:c>
      <x:c r="F656" s="6" t="str">
        <x:v>G12</x:v>
      </x:c>
      <x:c r="G656" s="6" t="str">
        <x:v>Мицелий и споры гриба рода Glomus, колонизированные фрагменты корней, природные органические наполнители, гуминовые вещества.</x:v>
      </x:c>
      <x:c r="H656" s="6" t="str">
        <x:v>Есть сведения; см. ограничения</x:v>
      </x:c>
      <x:c r="I656" s="6" t="str">
        <x:v>Гранулы</x:v>
      </x:c>
      <x:c r="J656" s="12" t="n">
        <x:v>1</x:v>
      </x:c>
      <x:c r="K656" s="6" t="str">
        <x:v>См. коды и ограничения на листе «Сопоставления»</x:v>
      </x:c>
      <x:c r="L656" s="6"/>
      <x:c r="M656" s="13" t="str">
        <x:v>https://www.bashinkom.ru/products/ojz/KormilitsaMikorizagranulirovannyy08kg</x:v>
      </x:c>
      <x:c r="N656" s="13"/>
    </x:row>
    <x:row r="657" ht="68" customHeight="1">
      <x:c r="A657" s="9" t="str">
        <x:v>P0652</x:v>
      </x:c>
      <x:c r="B657" s="9" t="str">
        <x:v>БашИнком</x:v>
      </x:c>
      <x:c r="C657" s="9" t="str">
        <x:v>Кормилица Микориза Башкирская</x:v>
      </x:c>
      <x:c r="D657" s="9" t="str">
        <x:v>Средство для растений/почвы</x:v>
      </x:c>
      <x:c r="E657" s="9" t="str">
        <x:v>Розничный каталог</x:v>
      </x:c>
      <x:c r="F657" s="9" t="str">
        <x:v>G12</x:v>
      </x:c>
      <x:c r="G657" s="9" t="str">
        <x:v>Мицелий и споры гриба рода Glomus, колонизированные фрагменты корней, торф.</x:v>
      </x:c>
      <x:c r="H657" s="9" t="str">
        <x:v>Есть сведения; см. ограничения</x:v>
      </x:c>
      <x:c r="I657" s="9" t="str">
        <x:v>Сухая смесь</x:v>
      </x:c>
      <x:c r="J657" s="10" t="n">
        <x:v>1</x:v>
      </x:c>
      <x:c r="K657" s="9" t="str">
        <x:v>См. коды и ограничения на листе «Сопоставления»</x:v>
      </x:c>
      <x:c r="L657" s="9"/>
      <x:c r="M657" s="11" t="str">
        <x:v>https://www.bashinkom.ru/products/ojz/KormilitsaMikoriza</x:v>
      </x:c>
      <x:c r="N657" s="11"/>
    </x:row>
    <x:row r="658" ht="68" customHeight="1">
      <x:c r="A658" s="6" t="str">
        <x:v>P0653</x:v>
      </x:c>
      <x:c r="B658" s="6" t="str">
        <x:v>БашИнком</x:v>
      </x:c>
      <x:c r="C658" s="6" t="str">
        <x:v>Кормилица Микориза Башкирская</x:v>
      </x:c>
      <x:c r="D658" s="6" t="str">
        <x:v>Средство для растений/почвы</x:v>
      </x:c>
      <x:c r="E658" s="6" t="str">
        <x:v>Розничный каталог</x:v>
      </x:c>
      <x:c r="F658" s="6" t="str">
        <x:v>G12</x:v>
      </x:c>
      <x:c r="G658" s="6" t="str">
        <x:v>Торф с природной микоризной грибницей</x:v>
      </x:c>
      <x:c r="H658" s="6" t="str">
        <x:v>Есть сведения; см. ограничения</x:v>
      </x:c>
      <x:c r="I658" s="6" t="str">
        <x:v>Сухая смесь</x:v>
      </x:c>
      <x:c r="J658" s="12" t="n">
        <x:v>1</x:v>
      </x:c>
      <x:c r="K658" s="6" t="str">
        <x:v>См. коды и ограничения на листе «Сопоставления»</x:v>
      </x:c>
      <x:c r="L658" s="6"/>
      <x:c r="M658" s="13" t="str">
        <x:v>https://www.bashinkom.ru/products/ojz/KormilitsaMikorizaBashkirskaya-10l</x:v>
      </x:c>
      <x:c r="N658" s="13"/>
    </x:row>
    <x:row r="659" ht="68" customHeight="1">
      <x:c r="A659" s="9" t="str">
        <x:v>P0654</x:v>
      </x:c>
      <x:c r="B659" s="9" t="str">
        <x:v>БашИнком</x:v>
      </x:c>
      <x:c r="C659" s="9" t="str">
        <x:v>Кормилица Микориза Башкирская</x:v>
      </x:c>
      <x:c r="D659" s="9" t="str">
        <x:v>Средство для растений/почвы</x:v>
      </x:c>
      <x:c r="E659" s="9" t="str">
        <x:v>Профессиональная линия</x:v>
      </x:c>
      <x:c r="F659" s="9" t="str">
        <x:v>G12</x:v>
      </x:c>
      <x:c r="G659" s="9" t="str">
        <x:v>Торф с природной микоризной грибницей</x:v>
      </x:c>
      <x:c r="H659" s="9" t="str">
        <x:v>Есть сведения; см. ограничения</x:v>
      </x:c>
      <x:c r="I659" s="9" t="str">
        <x:v>Сухая смесь</x:v>
      </x:c>
      <x:c r="J659" s="10" t="n">
        <x:v>1</x:v>
      </x:c>
      <x:c r="K659" s="9" t="str">
        <x:v>См. коды и ограничения на листе «Сопоставления»</x:v>
      </x:c>
      <x:c r="L659" s="9"/>
      <x:c r="M659" s="11" t="str">
        <x:v>https://www.bashinkom.ru/products/avz/KormilitsaMikorizaBashkirskaya10l</x:v>
      </x:c>
      <x:c r="N659" s="11"/>
    </x:row>
    <x:row r="660" ht="138" customHeight="1">
      <x:c r="A660" s="6" t="str">
        <x:v>P0655</x:v>
      </x:c>
      <x:c r="B660" s="6" t="str">
        <x:v>БашИнком</x:v>
      </x:c>
      <x:c r="C660" s="6" t="str">
        <x:v>Кормилица Микориза для газона</x:v>
      </x:c>
      <x:c r="D660" s="6" t="str">
        <x:v>Средство для растений/почвы</x:v>
      </x:c>
      <x:c r="E660" s="6" t="str">
        <x:v>Профессиональная линия</x:v>
      </x:c>
      <x:c r="F660" s="6" t="str">
        <x:v>G12</x:v>
      </x:c>
      <x:c r="G660" s="6" t="str">
        <x:v>Споры микоризного гриба рода Rhizophagus: 1000 спор/г – набор специально подобранных штаммов для культур, используемых в газонных смесях. Споры и живые клетки: азотофиксирующих бактерий Azotobacter chrooccocum, титр не менее 1х10⁵ КОЕ/г фосформобилизующих бактерий Bacillus megaterium, титр не менее 1х10⁵ КОЕ/г фосфор- и калиймобилизующих бактерий Bacillus mucilaginosus, титр не менее 1х10⁵ КОЕ/г Содержание питательных веществ… (сокращено)</x:v>
      </x:c>
      <x:c r="H660" s="6" t="str">
        <x:v>Есть сведения; см. ограничения</x:v>
      </x:c>
      <x:c r="I660" s="6" t="str">
        <x:v>гранулы</x:v>
      </x:c>
      <x:c r="J660" s="12" t="n">
        <x:v>1</x:v>
      </x:c>
      <x:c r="K660" s="6" t="str">
        <x:v>См. коды и ограничения на листе «Сопоставления»</x:v>
      </x:c>
      <x:c r="L660" s="6"/>
      <x:c r="M660" s="13" t="str">
        <x:v>https://www.bashinkom.ru/products/prodecor/KormilitsaMikorizadlyagazona10kg</x:v>
      </x:c>
      <x:c r="N660" s="13"/>
    </x:row>
    <x:row r="661" ht="82" customHeight="1">
      <x:c r="A661" s="9" t="str">
        <x:v>P0656</x:v>
      </x:c>
      <x:c r="B661" s="9" t="str">
        <x:v>БашИнком</x:v>
      </x:c>
      <x:c r="C661" s="9" t="str">
        <x:v>Кормилица Микориза для газона</x:v>
      </x:c>
      <x:c r="D661" s="9" t="str">
        <x:v>Средство для растений/почвы</x:v>
      </x:c>
      <x:c r="E661" s="9" t="str">
        <x:v>Профессиональная линия</x:v>
      </x:c>
      <x:c r="F661" s="9" t="str">
        <x:v>G12</x:v>
      </x:c>
      <x:c r="G661" s="9" t="str">
        <x:v>органическое вещество: не менее 40 %; - калиевые соли гуминовых кислот (гуматы калия): не менее 25 %; - макроэлементы, не менее: общий азот 2 %, общий фосфор 2 %, общий калий 2 %; - содержание спор микоризного гриба рода Glomus: 1000 спор/г.</x:v>
      </x:c>
      <x:c r="H661" s="9" t="str">
        <x:v>Есть сведения; см. ограничения</x:v>
      </x:c>
      <x:c r="I661" s="9" t="str">
        <x:v>гранулы</x:v>
      </x:c>
      <x:c r="J661" s="10" t="n">
        <x:v>1</x:v>
      </x:c>
      <x:c r="K661" s="9" t="str">
        <x:v>См. коды и ограничения на листе «Сопоставления»</x:v>
      </x:c>
      <x:c r="L661" s="9"/>
      <x:c r="M661" s="11" t="str">
        <x:v>https://www.bashinkom.ru/products/prodecor/KormilitsaMikorizadlyagazona3kg</x:v>
      </x:c>
      <x:c r="N661" s="11"/>
    </x:row>
    <x:row r="662" ht="124" customHeight="1">
      <x:c r="A662" s="6" t="str">
        <x:v>P0657</x:v>
      </x:c>
      <x:c r="B662" s="6" t="str">
        <x:v>БашИнком</x:v>
      </x:c>
      <x:c r="C662" s="6" t="str">
        <x:v>Кормилица Микориза для Декоративных деревьев и кустарников</x:v>
      </x:c>
      <x:c r="D662" s="6" t="str">
        <x:v>Средство для растений/почвы</x:v>
      </x:c>
      <x:c r="E662" s="6" t="str">
        <x:v>Профессиональная линия</x:v>
      </x:c>
      <x:c r="F662" s="6" t="str">
        <x:v>G12</x:v>
      </x:c>
      <x:c r="G662" s="6" t="str">
        <x:v>Споры микоризного гриба рода Rhizophagus, Tricholoma, Scleroderma: 1000 спор/г – набор специально подобранных штаммов для декоративных кустарников и деревьев. Споры и живые клетки: азотофиксирующих бактерий Azotobacter chrooccocum, титр не менее 1х10⁵ КОЕ/г фосформобилизующих бактерий Bacillus megaterium, титр не менее 1х10⁵ КОЕ/г фосфор- и калиймобилизующих бактерий Bacillus mucilaginosus, титр не менее 1х10⁵ КОЕ/г.… (сокращено)</x:v>
      </x:c>
      <x:c r="H662" s="6" t="str">
        <x:v>Есть сведения; см. ограничения</x:v>
      </x:c>
      <x:c r="I662" s="6" t="str">
        <x:v>гранулы</x:v>
      </x:c>
      <x:c r="J662" s="12" t="n">
        <x:v>2</x:v>
      </x:c>
      <x:c r="K662" s="6" t="str">
        <x:v>См. коды и ограничения на листе «Сопоставления»</x:v>
      </x:c>
      <x:c r="L662" s="6"/>
      <x:c r="M662" s="13" t="str">
        <x:v>https://www.bashinkom.ru/products/prodecor/KormilitsaMikorizadlyaDekorativnykhderevevikustarnikov10kg</x:v>
      </x:c>
      <x:c r="N662" s="13"/>
    </x:row>
    <x:row r="663" ht="124" customHeight="1">
      <x:c r="A663" s="9" t="str">
        <x:v>P0658</x:v>
      </x:c>
      <x:c r="B663" s="9" t="str">
        <x:v>БашИнком</x:v>
      </x:c>
      <x:c r="C663" s="9" t="str">
        <x:v>Кормилица Микориза для Хвойных</x:v>
      </x:c>
      <x:c r="D663" s="9" t="str">
        <x:v>Средство для растений/почвы</x:v>
      </x:c>
      <x:c r="E663" s="9" t="str">
        <x:v>Профессиональная линия</x:v>
      </x:c>
      <x:c r="F663" s="9" t="str">
        <x:v>G12</x:v>
      </x:c>
      <x:c r="G663" s="9" t="str">
        <x:v>Споры микоризного гриба рода Rhizophagus, Cortinarius, Suillis: не менее 1000 спор/г – набор специально подобранных штаммов для хвойных кустарников и деревьев, Споры и живые клетки: азотофиксирующих бактерий Azotobacter chrooccocum, титр не менее 1х10⁵ КОЕ/г. Содержание питательных веществ в пересчете на сухое вещество: Фосформобилизующих бактери Bacillus megaterium, титр не менее 1х10⁵ КОЕ/г Фосфор- и калиймобилизующих… (сокращено)</x:v>
      </x:c>
      <x:c r="H663" s="9" t="str">
        <x:v>Есть сведения; см. ограничения</x:v>
      </x:c>
      <x:c r="I663" s="9" t="str">
        <x:v>гранулы</x:v>
      </x:c>
      <x:c r="J663" s="10" t="n">
        <x:v>2</x:v>
      </x:c>
      <x:c r="K663" s="9" t="str">
        <x:v>См. коды и ограничения на листе «Сопоставления»</x:v>
      </x:c>
      <x:c r="L663" s="9"/>
      <x:c r="M663" s="11" t="str">
        <x:v>https://www.bashinkom.ru/products/prodecor/KormilitsaMikorizadlyaKHvoynykh10kg</x:v>
      </x:c>
      <x:c r="N663" s="11"/>
    </x:row>
    <x:row r="664" ht="124" customHeight="1">
      <x:c r="A664" s="6" t="str">
        <x:v>P0659</x:v>
      </x:c>
      <x:c r="B664" s="6" t="str">
        <x:v>БашИнком</x:v>
      </x:c>
      <x:c r="C664" s="6" t="str">
        <x:v>Кормилица Микориза для Цветов</x:v>
      </x:c>
      <x:c r="D664" s="6" t="str">
        <x:v>Средство для растений/почвы</x:v>
      </x:c>
      <x:c r="E664" s="6" t="str">
        <x:v>Профессиональная линия</x:v>
      </x:c>
      <x:c r="F664" s="6" t="str">
        <x:v>G12</x:v>
      </x:c>
      <x:c r="G664" s="6" t="str">
        <x:v>Споры микоризного гриба рода Rhizophagus intraradices и Funneliformis mosseae : не менее 1000 спор/г – набор специально подобранных штаммов для однолетних и многолетних цветов. Споры и живые клетки: азотофиксирующих бактерий Azotobacter chrooccocum, титр не менее 1х10⁵ КОЕ/г фосформобилизующих бактерий Bacillus megaterium, титр не менее 1х10⁵ КОЕ/г фосфор- и калиймобилизующих бактерий Bacillus mucilaginosus, титр не менее… (сокращено)</x:v>
      </x:c>
      <x:c r="H664" s="6" t="str">
        <x:v>Есть сведения; см. ограничения</x:v>
      </x:c>
      <x:c r="I664" s="6" t="str">
        <x:v>гранулы</x:v>
      </x:c>
      <x:c r="J664" s="12" t="n">
        <x:v>2</x:v>
      </x:c>
      <x:c r="K664" s="6" t="str">
        <x:v>См. коды и ограничения на листе «Сопоставления»</x:v>
      </x:c>
      <x:c r="L664" s="6"/>
      <x:c r="M664" s="13" t="str">
        <x:v>https://www.bashinkom.ru/products/prodecor/KormilitsaMikorizadlyaTSvetov10kg</x:v>
      </x:c>
      <x:c r="N664" s="13"/>
    </x:row>
    <x:row r="665" ht="68" customHeight="1">
      <x:c r="A665" s="9" t="str">
        <x:v>P0660</x:v>
      </x:c>
      <x:c r="B665" s="9" t="str">
        <x:v>БашИнком</x:v>
      </x:c>
      <x:c r="C665" s="9" t="str">
        <x:v>Кормилица Микориза жидкая</x:v>
      </x:c>
      <x:c r="D665" s="9" t="str">
        <x:v>Средство для растений/почвы</x:v>
      </x:c>
      <x:c r="E665" s="9" t="str">
        <x:v>Розничный каталог</x:v>
      </x:c>
      <x:c r="F665" s="9" t="str">
        <x:v>G12</x:v>
      </x:c>
      <x:c r="G665" s="9" t="str">
        <x:v>Споры гриба рода Rhizophagus (Glomus), природные фитогормоны, биологически активные вещества</x:v>
      </x:c>
      <x:c r="H665" s="9" t="str">
        <x:v>Есть сведения; см. ограничения</x:v>
      </x:c>
      <x:c r="I665" s="9" t="str">
        <x:v>Жидкость, 0,4 л</x:v>
      </x:c>
      <x:c r="J665" s="10" t="n">
        <x:v>1</x:v>
      </x:c>
      <x:c r="K665" s="9" t="str">
        <x:v>См. коды и ограничения на листе «Сопоставления»</x:v>
      </x:c>
      <x:c r="L665" s="9"/>
      <x:c r="M665" s="11" t="str">
        <x:v>https://www.bashinkom.ru/products/ojz/Kormilitsamikorizazhidkaya</x:v>
      </x:c>
      <x:c r="N665" s="11"/>
    </x:row>
    <x:row r="666" ht="124" customHeight="1">
      <x:c r="A666" s="6" t="str">
        <x:v>P0661</x:v>
      </x:c>
      <x:c r="B666" s="6" t="str">
        <x:v>БашИнком</x:v>
      </x:c>
      <x:c r="C666" s="6" t="str">
        <x:v>Кормилица Микориза УНИВЕРСАЛЬНАЯ</x:v>
      </x:c>
      <x:c r="D666" s="6" t="str">
        <x:v>Средство для растений/почвы</x:v>
      </x:c>
      <x:c r="E666" s="6" t="str">
        <x:v>Профессиональная линия</x:v>
      </x:c>
      <x:c r="F666" s="6" t="str">
        <x:v>G12</x:v>
      </x:c>
      <x:c r="G666" s="6" t="str">
        <x:v>Споры микоризного гриба рода Rhizophagus: 1000 спор/г – набор специально подобранных штаммов для цветов, декоративных кустарников и деревьев, хвойных. Споры и живые клетки: азотофиксирующих бактерий Azotobacter chrooccocum, титр не менее 1х10⁵ КОЕ/г фосфор-и калиймобилизующих бактерий Bacillus mucilaginosus, титр не менее 1х10⁵ КОЕ/г фосформобилизующих бактерий Bacillus megaterium, титр не менее 1х10⁵ КОЕ/г. Содержание… (сокращено)</x:v>
      </x:c>
      <x:c r="H666" s="6" t="str">
        <x:v>Есть сведения; см. ограничения</x:v>
      </x:c>
      <x:c r="I666" s="6" t="str">
        <x:v>гранулы</x:v>
      </x:c>
      <x:c r="J666" s="12" t="n">
        <x:v>2</x:v>
      </x:c>
      <x:c r="K666" s="6" t="str">
        <x:v>См. коды и ограничения на листе «Сопоставления»</x:v>
      </x:c>
      <x:c r="L666" s="6"/>
      <x:c r="M666" s="13" t="str">
        <x:v>https://www.bashinkom.ru/products/prodecor/KormilitsaMikorizaUNIVERSALNAYA10kg</x:v>
      </x:c>
      <x:c r="N666" s="13"/>
    </x:row>
    <x:row r="667" ht="68" customHeight="1">
      <x:c r="A667" s="9" t="str">
        <x:v>P0662</x:v>
      </x:c>
      <x:c r="B667" s="9" t="str">
        <x:v>БашИнком</x:v>
      </x:c>
      <x:c r="C667" s="9" t="str">
        <x:v>КорнеСил Экстра</x:v>
      </x:c>
      <x:c r="D667" s="9" t="str">
        <x:v>Средство для растений/почвы</x:v>
      </x:c>
      <x:c r="E667" s="9" t="str">
        <x:v>Розничный каталог</x:v>
      </x:c>
      <x:c r="F667" s="9" t="str">
        <x:v>G10</x:v>
      </x:c>
      <x:c r="G667" s="9" t="str">
        <x:v>Гумат натрия – 3 %, более 80 природных полезных макро-, микроэлементов и минералов, полезная микрофлора, природный ауксин.</x:v>
      </x:c>
      <x:c r="H667" s="9" t="str">
        <x:v>Есть сведения; см. ограничения</x:v>
      </x:c>
      <x:c r="I667" s="9" t="str">
        <x:v>Сухая смесь.</x:v>
      </x:c>
      <x:c r="J667" s="10" t="n">
        <x:v>1</x:v>
      </x:c>
      <x:c r="K667" s="9" t="str">
        <x:v>См. коды и ограничения на листе «Сопоставления»</x:v>
      </x:c>
      <x:c r="L667" s="9"/>
      <x:c r="M667" s="11" t="str">
        <x:v>https://www.bashinkom.ru/products/ojz/KorneSilEkstra10g</x:v>
      </x:c>
      <x:c r="N667" s="11"/>
    </x:row>
    <x:row r="668" ht="82" customHeight="1">
      <x:c r="A668" s="6" t="str">
        <x:v>P0663</x:v>
      </x:c>
      <x:c r="B668" s="6" t="str">
        <x:v>БашИнком</x:v>
      </x:c>
      <x:c r="C668" s="6" t="str">
        <x:v>Корнесил Экстра Универсальный</x:v>
      </x:c>
      <x:c r="D668" s="6" t="str">
        <x:v>Средство для растений/почвы</x:v>
      </x:c>
      <x:c r="E668" s="6" t="str">
        <x:v>Профессиональная линия</x:v>
      </x:c>
      <x:c r="F668" s="6" t="str">
        <x:v>G10</x:v>
      </x:c>
      <x:c r="G668" s="6" t="str">
        <x:v>Биоактивированные по молекулярному весу гуминовые и фульвовые кислоты – 3 % природные фитогормоны ауксины более 80 природных полезных макро-, микроэлементов и минералов, метаболиты Bacillus subtilis - аминокислоты, фитогормоны, витамины, полисахариды</x:v>
      </x:c>
      <x:c r="H668" s="6" t="str">
        <x:v>Есть сведения; см. ограничения</x:v>
      </x:c>
      <x:c r="I668" s="6" t="str">
        <x:v>порошок</x:v>
      </x:c>
      <x:c r="J668" s="12" t="n">
        <x:v>1</x:v>
      </x:c>
      <x:c r="K668" s="6" t="str">
        <x:v>См. коды и ограничения на листе «Сопоставления»</x:v>
      </x:c>
      <x:c r="L668" s="6"/>
      <x:c r="M668" s="13" t="str">
        <x:v>https://www.bashinkom.ru/products/prodecor/KorneSilEkstra</x:v>
      </x:c>
      <x:c r="N668" s="13"/>
    </x:row>
    <x:row r="669" ht="68" customHeight="1">
      <x:c r="A669" s="9" t="str">
        <x:v>P0664</x:v>
      </x:c>
      <x:c r="B669" s="9" t="str">
        <x:v>БашИнком</x:v>
      </x:c>
      <x:c r="C669" s="9" t="str">
        <x:v>Корнесил, Гуми-20 + МЭ</x:v>
      </x:c>
      <x:c r="D669" s="9" t="str">
        <x:v>Средство для растений/почвы</x:v>
      </x:c>
      <x:c r="E669" s="9" t="str">
        <x:v>Розничный каталог</x:v>
      </x:c>
      <x:c r="F669" s="9" t="str">
        <x:v>G10; G39</x:v>
      </x:c>
      <x:c r="G669" s="9" t="str">
        <x:v>Гуми-20 – 0,4%, более 80 природных полезных макро-, микроэлементов и минералов, полезная микрофлора.</x:v>
      </x:c>
      <x:c r="H669" s="9" t="str">
        <x:v>Есть сведения; см. ограничения</x:v>
      </x:c>
      <x:c r="I669" s="9" t="str">
        <x:v>Жидкость</x:v>
      </x:c>
      <x:c r="J669" s="10" t="n">
        <x:v>1</x:v>
      </x:c>
      <x:c r="K669" s="9" t="str">
        <x:v>См. коды и ограничения на листе «Сопоставления»</x:v>
      </x:c>
      <x:c r="L669" s="9"/>
      <x:c r="M669" s="11" t="str">
        <x:v>https://www.bashinkom.ru/products/ojz/KORNESILGumi20ME03l</x:v>
      </x:c>
      <x:c r="N669" s="11"/>
    </x:row>
    <x:row r="670" ht="68" customHeight="1">
      <x:c r="A670" s="6" t="str">
        <x:v>P0665</x:v>
      </x:c>
      <x:c r="B670" s="6" t="str">
        <x:v>БашИнком</x:v>
      </x:c>
      <x:c r="C670" s="6" t="str">
        <x:v>КрасАдъюв</x:v>
      </x:c>
      <x:c r="D670" s="6" t="str">
        <x:v>Средство для растений/почвы</x:v>
      </x:c>
      <x:c r="E670" s="6" t="str">
        <x:v>Профессиональная линия</x:v>
      </x:c>
      <x:c r="F670" s="6" t="str">
        <x:v>G29</x:v>
      </x:c>
      <x:c r="G670" s="6" t="str">
        <x:v>Краситель природного происхождения</x:v>
      </x:c>
      <x:c r="H670" s="6" t="str">
        <x:v>Есть сведения; см. ограничения</x:v>
      </x:c>
      <x:c r="I670" s="6" t="str">
        <x:v>Жидкость</x:v>
      </x:c>
      <x:c r="J670" s="12" t="n">
        <x:v>1</x:v>
      </x:c>
      <x:c r="K670" s="6" t="str">
        <x:v>См. коды и ограничения на листе «Сопоставления»</x:v>
      </x:c>
      <x:c r="L670" s="6"/>
      <x:c r="M670" s="13" t="str">
        <x:v>https://www.bashinkom.ru/products/avz/KrasAdyuv</x:v>
      </x:c>
      <x:c r="N670" s="13"/>
    </x:row>
    <x:row r="671" ht="82" customHeight="1">
      <x:c r="A671" s="9" t="str">
        <x:v>P0666</x:v>
      </x:c>
      <x:c r="B671" s="9" t="str">
        <x:v>БашИнком</x:v>
      </x:c>
      <x:c r="C671" s="9" t="str">
        <x:v>Куриный помет настоящий– Бионекс 100</x:v>
      </x:c>
      <x:c r="D671" s="9" t="str">
        <x:v>Средство для растений/почвы</x:v>
      </x:c>
      <x:c r="E671" s="9" t="str">
        <x:v>Розничный каталог</x:v>
      </x:c>
      <x:c r="F671" s="9" t="str">
        <x:v>—</x:v>
      </x:c>
      <x:c r="G671" s="9" t="str">
        <x:v>Ферментированный куриный помёт, эликсир плодородия Гуми, гумусное удобрение Хозяин-Батюшка, Фитоспорин-М. Содержит: азот–3%, фосфор–3%, калий–2%; органическое вещество - 40–50% + более 80 микроэлементов и минералов природного происхождения.</x:v>
      </x:c>
      <x:c r="H671" s="9" t="str">
        <x:v>Есть сведения; см. ограничения</x:v>
      </x:c>
      <x:c r="I671" s="9" t="str">
        <x:v>Гранулы</x:v>
      </x:c>
      <x:c r="J671" s="10" t="n">
        <x:v>1</x:v>
      </x:c>
      <x:c r="K671" s="9" t="str">
        <x:v>Близкий аналог не подтвержден</x:v>
      </x:c>
      <x:c r="L671" s="9"/>
      <x:c r="M671" s="11" t="str">
        <x:v>https://www.bashinkom.ru/products/ojz/KurinyypometnastoyashchiyBioneks1oo2kg</x:v>
      </x:c>
      <x:c r="N671" s="11"/>
    </x:row>
    <x:row r="672" ht="110" customHeight="1">
      <x:c r="A672" s="6" t="str">
        <x:v>P0667</x:v>
      </x:c>
      <x:c r="B672" s="6" t="str">
        <x:v>БашИнком</x:v>
      </x:c>
      <x:c r="C672" s="6" t="str">
        <x:v>Лианы Земля–Матушка для алоказии, аралии, монстеры, диффебахии, сингониума</x:v>
      </x:c>
      <x:c r="D672" s="6" t="str">
        <x:v>Средство для растений/почвы</x:v>
      </x:c>
      <x:c r="E672" s="6" t="str">
        <x:v>Розничный каталог</x:v>
      </x:c>
      <x:c r="F672" s="6" t="str">
        <x:v>G37</x:v>
      </x:c>
      <x:c r="G672" s="6" t="str">
        <x:v>Почвогунт. Полный набор питательных веществ, природный мако- и микроэлементов, торф, ферментированное органическое удобрение Бионекс, эликсир плодородия Гуми, полезная дружественная микрофлора, природные керамические микропористые разрыхлители. Содержит: азот – не менее 50 мг/кг, фосфор – не менее 15 мг/кг, калий – не менее 55 мг/кг; ферментированное органическое вещество – 30%.</x:v>
      </x:c>
      <x:c r="H672" s="6" t="str">
        <x:v>Есть сведения; см. ограничения</x:v>
      </x:c>
      <x:c r="I672" s="6" t="str">
        <x:v>Почвогрунт</x:v>
      </x:c>
      <x:c r="J672" s="12" t="n">
        <x:v>1</x:v>
      </x:c>
      <x:c r="K672" s="6" t="str">
        <x:v>См. коды и ограничения на листе «Сопоставления»</x:v>
      </x:c>
      <x:c r="L672" s="6"/>
      <x:c r="M672" s="13" t="str">
        <x:v>https://www.bashinkom.ru/products/ojz/LianyZemlyaMatushkadlyaalokaziiaraliimonsterydiffebakhiisingoniuma3l</x:v>
      </x:c>
      <x:c r="N672" s="13"/>
    </x:row>
    <x:row r="673" ht="110" customHeight="1">
      <x:c r="A673" s="9" t="str">
        <x:v>P0668</x:v>
      </x:c>
      <x:c r="B673" s="9" t="str">
        <x:v>БашИнком</x:v>
      </x:c>
      <x:c r="C673" s="9" t="str">
        <x:v>Лимон-Мандарин Земля–Матушка для лимона, мандарина, жасмина, инжира, кофе</x:v>
      </x:c>
      <x:c r="D673" s="9" t="str">
        <x:v>Средство для растений/почвы</x:v>
      </x:c>
      <x:c r="E673" s="9" t="str">
        <x:v>Розничный каталог</x:v>
      </x:c>
      <x:c r="F673" s="9" t="str">
        <x:v>G37</x:v>
      </x:c>
      <x:c r="G673" s="9" t="str">
        <x:v>Почвогунт. Полный набор питательных веществ, природный мако- и микроэлементов, торф, ферментированное органическое удобрение Бионекс, эликсир плодородия Гуми, полезная дружественная микрофлора, природные керамические микропористые разрыхлители. Содержит: азот не менее – 50 мг/кг, фосфор не менее – 15 мг/кг, калий не менее – 65 мг/кг; ферментированное органическое вещество - 30%.</x:v>
      </x:c>
      <x:c r="H673" s="9" t="str">
        <x:v>Есть сведения; см. ограничения</x:v>
      </x:c>
      <x:c r="I673" s="9" t="str">
        <x:v>Почвогрунт</x:v>
      </x:c>
      <x:c r="J673" s="10" t="n">
        <x:v>1</x:v>
      </x:c>
      <x:c r="K673" s="9" t="str">
        <x:v>См. коды и ограничения на листе «Сопоставления»</x:v>
      </x:c>
      <x:c r="L673" s="9"/>
      <x:c r="M673" s="11" t="str">
        <x:v>https://www.bashinkom.ru/products/ojz/LimonMandarinZemlyaMatushkadlyalimonamandarinazhasminainzhirakofe3l</x:v>
      </x:c>
      <x:c r="N673" s="11"/>
    </x:row>
    <x:row r="674" ht="68" customHeight="1">
      <x:c r="A674" s="6" t="str">
        <x:v>P0669</x:v>
      </x:c>
      <x:c r="B674" s="6" t="str">
        <x:v>БашИнком</x:v>
      </x:c>
      <x:c r="C674" s="6" t="str">
        <x:v>Марганцовка БашИнком (перманганат калия)</x:v>
      </x:c>
      <x:c r="D674" s="6" t="str">
        <x:v>Средство для растений/почвы</x:v>
      </x:c>
      <x:c r="E674" s="6" t="str">
        <x:v>Розничный каталог</x:v>
      </x:c>
      <x:c r="F674" s="6" t="str">
        <x:v>—</x:v>
      </x:c>
      <x:c r="G674" s="6" t="str">
        <x:v>Перманганат калия 40%.</x:v>
      </x:c>
      <x:c r="H674" s="6" t="str">
        <x:v>Есть сведения; см. ограничения</x:v>
      </x:c>
      <x:c r="I674" s="6" t="str">
        <x:v>Порошок</x:v>
      </x:c>
      <x:c r="J674" s="12" t="n">
        <x:v>1</x:v>
      </x:c>
      <x:c r="K674" s="6" t="str">
        <x:v>Близкий аналог не подтвержден</x:v>
      </x:c>
      <x:c r="L674" s="6"/>
      <x:c r="M674" s="13" t="str">
        <x:v>https://www.bashinkom.ru/products/ojz/MargantsovkaBashInkompermanganatkaliya10g</x:v>
      </x:c>
      <x:c r="N674" s="13"/>
    </x:row>
    <x:row r="675" ht="68" customHeight="1">
      <x:c r="A675" s="9" t="str">
        <x:v>P0670</x:v>
      </x:c>
      <x:c r="B675" s="9" t="str">
        <x:v>БашИнком</x:v>
      </x:c>
      <x:c r="C675" s="9" t="str">
        <x:v>Микробиологический препарат ТравоЗаквас</x:v>
      </x:c>
      <x:c r="D675" s="9" t="str">
        <x:v>Средство для растений/почвы</x:v>
      </x:c>
      <x:c r="E675" s="9" t="str">
        <x:v>Розничный каталог</x:v>
      </x:c>
      <x:c r="F675" s="9" t="str">
        <x:v>G11</x:v>
      </x:c>
      <x:c r="G675" s="9" t="str">
        <x:v>Природный разрыхлитель агропор, консорциум из 12 штаммов природных полезных фитобактерий и грибов, комплекс специальных ферментов, эликсир плодородия Гуми.</x:v>
      </x:c>
      <x:c r="H675" s="9" t="str">
        <x:v>Есть сведения; см. ограничения</x:v>
      </x:c>
      <x:c r="I675" s="9" t="str">
        <x:v>Порошок</x:v>
      </x:c>
      <x:c r="J675" s="10" t="n">
        <x:v>1</x:v>
      </x:c>
      <x:c r="K675" s="9" t="str">
        <x:v>См. коды и ограничения на листе «Сопоставления»</x:v>
      </x:c>
      <x:c r="L675" s="9"/>
      <x:c r="M675" s="11" t="str">
        <x:v>https://www.bashinkom.ru/products/ojz/MikrobiologicheskiypreparatTravoZakvas5l</x:v>
      </x:c>
      <x:c r="N675" s="11"/>
    </x:row>
    <x:row r="676" ht="68" customHeight="1">
      <x:c r="A676" s="6" t="str">
        <x:v>P0671</x:v>
      </x:c>
      <x:c r="B676" s="6" t="str">
        <x:v>БашИнком</x:v>
      </x:c>
      <x:c r="C676" s="6" t="str">
        <x:v>Мох Таежный</x:v>
      </x:c>
      <x:c r="D676" s="6" t="str">
        <x:v>Средство для растений/почвы</x:v>
      </x:c>
      <x:c r="E676" s="6" t="str">
        <x:v>Розничный каталог</x:v>
      </x:c>
      <x:c r="F676" s="6" t="str">
        <x:v>—</x:v>
      </x:c>
      <x:c r="G676" s="6" t="str">
        <x:v>Мох таёжный высушенный. Допускается незначительное количество природных примесей в виде фрагментов других растений.</x:v>
      </x:c>
      <x:c r="H676" s="6" t="str">
        <x:v>Есть сведения; см. ограничения</x:v>
      </x:c>
      <x:c r="I676" s="6" t="str">
        <x:v>Растительное сырьё</x:v>
      </x:c>
      <x:c r="J676" s="12" t="n">
        <x:v>1</x:v>
      </x:c>
      <x:c r="K676" s="6" t="str">
        <x:v>Близкий аналог не подтвержден</x:v>
      </x:c>
      <x:c r="L676" s="6"/>
      <x:c r="M676" s="13" t="str">
        <x:v>https://www.bashinkom.ru/products/ojz/MokhTaezhnyy</x:v>
      </x:c>
      <x:c r="N676" s="13"/>
    </x:row>
    <x:row r="677" ht="68" customHeight="1">
      <x:c r="A677" s="9" t="str">
        <x:v>P0672</x:v>
      </x:c>
      <x:c r="B677" s="9" t="str">
        <x:v>БашИнком</x:v>
      </x:c>
      <x:c r="C677" s="9" t="str">
        <x:v>Мульча–Разрыхлитель Земля–Матушка черноземная</x:v>
      </x:c>
      <x:c r="D677" s="9" t="str">
        <x:v>Средство для растений/почвы</x:v>
      </x:c>
      <x:c r="E677" s="9" t="str">
        <x:v>Розничный каталог</x:v>
      </x:c>
      <x:c r="F677" s="9" t="str">
        <x:v>G36; G37</x:v>
      </x:c>
      <x:c r="G677" s="9" t="str">
        <x:v>Почвогунт. Содержит макроэлементы: азот – 40 мг/кг, фосфор – 45 мг/кг, калий – 40 мг/кг; органическое вещество – 60%.</x:v>
      </x:c>
      <x:c r="H677" s="9" t="str">
        <x:v>Есть сведения; см. ограничения</x:v>
      </x:c>
      <x:c r="I677" s="9" t="str">
        <x:v>Почвогрунт</x:v>
      </x:c>
      <x:c r="J677" s="10" t="n">
        <x:v>1</x:v>
      </x:c>
      <x:c r="K677" s="9" t="str">
        <x:v>См. коды и ограничения на листе «Сопоставления»</x:v>
      </x:c>
      <x:c r="L677" s="9"/>
      <x:c r="M677" s="11" t="str">
        <x:v>https://www.bashinkom.ru/products/ojz/MULCHARAZRYKHLITELZemlyaMatushkachernozemnaya10l</x:v>
      </x:c>
      <x:c r="N677" s="11"/>
    </x:row>
    <x:row r="678" ht="68" customHeight="1">
      <x:c r="A678" s="6" t="str">
        <x:v>P0673</x:v>
      </x:c>
      <x:c r="B678" s="6" t="str">
        <x:v>БашИнком</x:v>
      </x:c>
      <x:c r="C678" s="6" t="str">
        <x:v>Мыло дегтярное пробиотическое Кыш-вредитель Универсальное</x:v>
      </x:c>
      <x:c r="D678" s="6" t="str">
        <x:v>Средство для растений/почвы</x:v>
      </x:c>
      <x:c r="E678" s="6" t="str">
        <x:v>Розничный каталог</x:v>
      </x:c>
      <x:c r="F678" s="6" t="str">
        <x:v>—</x:v>
      </x:c>
      <x:c r="G678" s="6" t="str">
        <x:v>Берёзовый дёготь, калийные соли растительных жирных кислот, полезные природные бактерии – пробиотики.</x:v>
      </x:c>
      <x:c r="H678" s="6" t="str">
        <x:v>Есть сведения; см. ограничения</x:v>
      </x:c>
      <x:c r="I678" s="6" t="str">
        <x:v>Жидкость</x:v>
      </x:c>
      <x:c r="J678" s="12" t="n">
        <x:v>1</x:v>
      </x:c>
      <x:c r="K678" s="6" t="str">
        <x:v>Близкий аналог не подтвержден</x:v>
      </x:c>
      <x:c r="L678" s="6"/>
      <x:c r="M678" s="13" t="str">
        <x:v>https://www.bashinkom.ru/products/ojz/MylodegtyarnoeprobioticheskoeKYSHVREDITELUNIVERSALNOE05l</x:v>
      </x:c>
      <x:c r="N678" s="13"/>
    </x:row>
    <x:row r="679" ht="68" customHeight="1">
      <x:c r="A679" s="9" t="str">
        <x:v>P0674</x:v>
      </x:c>
      <x:c r="B679" s="9" t="str">
        <x:v>БашИнком</x:v>
      </x:c>
      <x:c r="C679" s="9" t="str">
        <x:v>Мыло–зеленое, растительное, калийное «Ура! На Дачу!»</x:v>
      </x:c>
      <x:c r="D679" s="9" t="str">
        <x:v>Средство для растений/почвы</x:v>
      </x:c>
      <x:c r="E679" s="9" t="str">
        <x:v>Розничный каталог</x:v>
      </x:c>
      <x:c r="F679" s="9" t="str">
        <x:v>G06</x:v>
      </x:c>
      <x:c r="G679" s="9" t="str">
        <x:v>Калийные соли жирных кислот.</x:v>
      </x:c>
      <x:c r="H679" s="9" t="str">
        <x:v>Есть сведения; см. ограничения</x:v>
      </x:c>
      <x:c r="I679" s="9" t="str">
        <x:v>Жидкость</x:v>
      </x:c>
      <x:c r="J679" s="10" t="n">
        <x:v>1</x:v>
      </x:c>
      <x:c r="K679" s="9" t="str">
        <x:v>См. коды и ограничения на листе «Сопоставления»</x:v>
      </x:c>
      <x:c r="L679" s="9"/>
      <x:c r="M679" s="11" t="str">
        <x:v>https://www.bashinkom.ru/products/ojz/MylozelenoerastitelnoekaliynoeNaDachu</x:v>
      </x:c>
      <x:c r="N679" s="11"/>
    </x:row>
    <x:row r="680" ht="68" customHeight="1">
      <x:c r="A680" s="6" t="str">
        <x:v>P0675</x:v>
      </x:c>
      <x:c r="B680" s="6" t="str">
        <x:v>БашИнком</x:v>
      </x:c>
      <x:c r="C680" s="6" t="str">
        <x:v>Олимпийский Гуми-30 М, ПС (калийный)</x:v>
      </x:c>
      <x:c r="D680" s="6" t="str">
        <x:v>Средство для растений/почвы</x:v>
      </x:c>
      <x:c r="E680" s="6" t="str">
        <x:v>Розничный каталог</x:v>
      </x:c>
      <x:c r="F680" s="6" t="str">
        <x:v>G02; G39</x:v>
      </x:c>
      <x:c r="G680" s="6" t="str">
        <x:v>Гуматы калия не менее 60%, макроэлементы NPK (1:1:3) и микроэлементы (B, Mo, Se, Li, S, Co, Mn, Cu, Zn, Ni, Cr) природного происхождения.</x:v>
      </x:c>
      <x:c r="H680" s="6" t="str">
        <x:v>Есть сведения; см. ограничения</x:v>
      </x:c>
      <x:c r="I680" s="6" t="str">
        <x:v>Гель</x:v>
      </x:c>
      <x:c r="J680" s="12" t="n">
        <x:v>1</x:v>
      </x:c>
      <x:c r="K680" s="6" t="str">
        <x:v>См. коды и ограничения на листе «Сопоставления»</x:v>
      </x:c>
      <x:c r="L680" s="6"/>
      <x:c r="M680" s="13" t="str">
        <x:v>https://www.bashinkom.ru/products/ojz/OLIMPIYSKIYGUMIKKaliynyyNANOGEL300g</x:v>
      </x:c>
      <x:c r="N680" s="13"/>
    </x:row>
    <x:row r="681" ht="68" customHeight="1">
      <x:c r="A681" s="9" t="str">
        <x:v>P0676</x:v>
      </x:c>
      <x:c r="B681" s="9" t="str">
        <x:v>БашИнком</x:v>
      </x:c>
      <x:c r="C681" s="9" t="str">
        <x:v>Песок посевной прореживающий</x:v>
      </x:c>
      <x:c r="D681" s="9" t="str">
        <x:v>Средство для растений/почвы</x:v>
      </x:c>
      <x:c r="E681" s="9" t="str">
        <x:v>Розничный каталог</x:v>
      </x:c>
      <x:c r="F681" s="9" t="str">
        <x:v>—</x:v>
      </x:c>
      <x:c r="G681" s="9" t="str">
        <x:v>Песок речной, Гуми, защитные бактерии</x:v>
      </x:c>
      <x:c r="H681" s="9" t="str">
        <x:v>Есть сведения; см. ограничения</x:v>
      </x:c>
      <x:c r="I681" s="9" t="str">
        <x:v>Сыпучее вещество</x:v>
      </x:c>
      <x:c r="J681" s="10" t="n">
        <x:v>1</x:v>
      </x:c>
      <x:c r="K681" s="9" t="str">
        <x:v>Близкий аналог не подтвержден</x:v>
      </x:c>
      <x:c r="L681" s="9"/>
      <x:c r="M681" s="11" t="str">
        <x:v>https://www.bashinkom.ru/products/ojz/Pesokposevnoyprorezhivayushchiy</x:v>
      </x:c>
      <x:c r="N681" s="11"/>
    </x:row>
    <x:row r="682" ht="124" customHeight="1">
      <x:c r="A682" s="6" t="str">
        <x:v>P0677</x:v>
      </x:c>
      <x:c r="B682" s="6" t="str">
        <x:v>БашИнком</x:v>
      </x:c>
      <x:c r="C682" s="6" t="str">
        <x:v>Почвогрунт Земля – Матушка Универсальная для рассады, зелени и цветов</x:v>
      </x:c>
      <x:c r="D682" s="6" t="str">
        <x:v>Средство для растений/почвы</x:v>
      </x:c>
      <x:c r="E682" s="6" t="str">
        <x:v>Розничный каталог</x:v>
      </x:c>
      <x:c r="F682" s="6" t="str">
        <x:v>—</x:v>
      </x:c>
      <x:c r="G682" s="6" t="str">
        <x:v>Почвогунт. Полный набор питательных веществ (NPK); микроэлементы (B,Cu, Zn, Mn, Mo, Co и др); облегченный верховой торф; ферментированное органическое удобрение; природное гумусное удобрение Хозяин–Батюшка; эликсир плодородия Гуми и полезнейшая дружественная микрофлора; природные легкие разрыхлители. Массовое содержание питательных веществ (в пересчете на сухое вещество): ферментированное органическое вещество – 30%;… (сокращено)</x:v>
      </x:c>
      <x:c r="H682" s="6" t="str">
        <x:v>Есть сведения; см. ограничения</x:v>
      </x:c>
      <x:c r="I682" s="6" t="str">
        <x:v>Почвогрунт</x:v>
      </x:c>
      <x:c r="J682" s="12" t="n">
        <x:v>1</x:v>
      </x:c>
      <x:c r="K682" s="6" t="str">
        <x:v>Близкий аналог не подтвержден</x:v>
      </x:c>
      <x:c r="L682" s="6"/>
      <x:c r="M682" s="13" t="str">
        <x:v>https://www.bashinkom.ru/products/ojz/PochvogruntZemlyaMatushkaUniversalnayadlyarassadyzeleniitsvetov</x:v>
      </x:c>
      <x:c r="N682" s="13"/>
    </x:row>
    <x:row r="683" ht="124" customHeight="1">
      <x:c r="A683" s="9" t="str">
        <x:v>P0678</x:v>
      </x:c>
      <x:c r="B683" s="9" t="str">
        <x:v>БашИнком</x:v>
      </x:c>
      <x:c r="C683" s="9" t="str">
        <x:v>Пробиогранулы "Гортензия"</x:v>
      </x:c>
      <x:c r="D683" s="9" t="str">
        <x:v>Средство для растений/почвы</x:v>
      </x:c>
      <x:c r="E683" s="9" t="str">
        <x:v>Розничный каталог</x:v>
      </x:c>
      <x:c r="F683" s="9" t="str">
        <x:v>C07</x:v>
      </x:c>
      <x:c r="G683" s="9" t="str">
        <x:v>Ферментированный куриный помет, NPK удобрения,микроэлементы (бор, медь, цинк), удобрение ГУМИ (калиевые соли гуминовыхи фульвовых кислот), полезные почвенные микроорганизмы. Содержание питательных веществ в пересчете на сухое вещество: - органическое вещество: не менее 20%; - биоактивированные калиевые соли гуминовых (гуматы калия, 0,4-0,6%) и фульвовых (0,08-0,11%) кислот; - макроэлементы, не менее: общий азот 3%; общий… (сокращено)</x:v>
      </x:c>
      <x:c r="H683" s="9" t="str">
        <x:v>Есть сведения; см. ограничения</x:v>
      </x:c>
      <x:c r="I683" s="9" t="str">
        <x:v>Гранулы</x:v>
      </x:c>
      <x:c r="J683" s="10" t="n">
        <x:v>1</x:v>
      </x:c>
      <x:c r="K683" s="9" t="str">
        <x:v>См. коды и ограничения на листе «Сопоставления»</x:v>
      </x:c>
      <x:c r="L683" s="9"/>
      <x:c r="M683" s="11" t="str">
        <x:v>https://www.bashinkom.ru/products/ojz/ProbiogranulyGortenziya</x:v>
      </x:c>
      <x:c r="N683" s="11"/>
    </x:row>
    <x:row r="684" ht="124" customHeight="1">
      <x:c r="A684" s="6" t="str">
        <x:v>P0679</x:v>
      </x:c>
      <x:c r="B684" s="6" t="str">
        <x:v>БашИнком</x:v>
      </x:c>
      <x:c r="C684" s="6" t="str">
        <x:v>Пробиогранулы "Гуми – Оми Ягодное – "</x:v>
      </x:c>
      <x:c r="D684" s="6" t="str">
        <x:v>Средство для растений/почвы</x:v>
      </x:c>
      <x:c r="E684" s="6" t="str">
        <x:v>Розничный каталог</x:v>
      </x:c>
      <x:c r="F684" s="6" t="str">
        <x:v>C05</x:v>
      </x:c>
      <x:c r="G684" s="6" t="str">
        <x:v>Ферментированный куриный помет, NPK удобрения,микроэлементы (бор, медь, цинк), удобрение ГУМИ (калиевые соли гуминовых и фульвовых кислот). Содержание питательных веществ в пересчете на сухое вещество: - органическое вещество: не менее 20%; - биоактивированные калиевые соли гуминовых кислот (гуматы калия, 0,4-0,6%); - макроэлементы, не менее: общий азот 3,6%, общий фосфор 4,5%; общий калий – 3,9%; - микроэлементы: B 100-150… (сокращено)</x:v>
      </x:c>
      <x:c r="H684" s="6" t="str">
        <x:v>Есть сведения; см. ограничения</x:v>
      </x:c>
      <x:c r="I684" s="6" t="str">
        <x:v>Гранулы</x:v>
      </x:c>
      <x:c r="J684" s="12" t="n">
        <x:v>1</x:v>
      </x:c>
      <x:c r="K684" s="6" t="str">
        <x:v>См. коды и ограничения на листе «Сопоставления»</x:v>
      </x:c>
      <x:c r="L684" s="6"/>
      <x:c r="M684" s="13" t="str">
        <x:v>https://www.bashinkom.ru/products/ojz/GumiOmiYAgodnoe08kggranulirovannyy</x:v>
      </x:c>
      <x:c r="N684" s="13"/>
    </x:row>
    <x:row r="685" ht="96" customHeight="1">
      <x:c r="A685" s="9" t="str">
        <x:v>P0680</x:v>
      </x:c>
      <x:c r="B685" s="9" t="str">
        <x:v>БашИнком</x:v>
      </x:c>
      <x:c r="C685" s="9" t="str">
        <x:v>Пробиогранулы "Декоративные кустарники и деревья", 0,8</x:v>
      </x:c>
      <x:c r="D685" s="9" t="str">
        <x:v>Средство для растений/почвы</x:v>
      </x:c>
      <x:c r="E685" s="9" t="str">
        <x:v>Розничный каталог</x:v>
      </x:c>
      <x:c r="F685" s="9" t="str">
        <x:v>C24</x:v>
      </x:c>
      <x:c r="G685" s="9" t="str">
        <x:v>Органическое вещество не менее 20%; биоактивированные калиевые соли гуминовых (гуматы калия, 0,4-0,6%) и фульвовых (0,08-0,11%) кислот; макрозлементы: общий азот – 5%, общий фосфор – 7%, общий калий – 5%, необходимые микроэлементы: бор – 100-300 мг/кг, медь – 100-300 мг/кг, цинк – 300-900 мг/кг, полезные почвенные микроорганизмы</x:v>
      </x:c>
      <x:c r="H685" s="9" t="str">
        <x:v>Есть сведения; см. ограничения</x:v>
      </x:c>
      <x:c r="I685" s="9" t="str">
        <x:v>Гранулы</x:v>
      </x:c>
      <x:c r="J685" s="10" t="n">
        <x:v>1</x:v>
      </x:c>
      <x:c r="K685" s="9" t="str">
        <x:v>См. коды и ограничения на листе «Сопоставления»</x:v>
      </x:c>
      <x:c r="L685" s="9"/>
      <x:c r="M685" s="11" t="str">
        <x:v>https://www.bashinkom.ru/products/ojz/GumiOmiDekorativnyekustarnikiiderevya08kg</x:v>
      </x:c>
      <x:c r="N685" s="11"/>
    </x:row>
    <x:row r="686" ht="138" customHeight="1">
      <x:c r="A686" s="6" t="str">
        <x:v>P0681</x:v>
      </x:c>
      <x:c r="B686" s="6" t="str">
        <x:v>БашИнком</x:v>
      </x:c>
      <x:c r="C686" s="6" t="str">
        <x:v>Пробиогранулы "Кислотолюбивые кустарники"</x:v>
      </x:c>
      <x:c r="D686" s="6" t="str">
        <x:v>Средство для растений/почвы</x:v>
      </x:c>
      <x:c r="E686" s="6" t="str">
        <x:v>Розничный каталог</x:v>
      </x:c>
      <x:c r="F686" s="6" t="str">
        <x:v>C07</x:v>
      </x:c>
      <x:c r="G686" s="6" t="str">
        <x:v>Ферментированный куриный помет, NPK удобрения,микроэлементы (бор, медь, цинк), удобрение ГУМИ (калиевые соли гуминовыхи фульвовых кислот), полезные почвенные микроорганизмы. Содержание питательных веществ в пересчете на сухое вещество: органическое вещество: не менее 20%; биоактивированные калиевые соли гуминовых (гуматы калия, 0,4-0,6%) и фульвовых (0,08-0,11%) кислот; макроэлементы, не менее: общий азот 3%; общий фосфор 7%;… (сокращено)</x:v>
      </x:c>
      <x:c r="H686" s="6" t="str">
        <x:v>Есть сведения; см. ограничения</x:v>
      </x:c>
      <x:c r="I686" s="6" t="str">
        <x:v>Гранулы</x:v>
      </x:c>
      <x:c r="J686" s="12" t="n">
        <x:v>1</x:v>
      </x:c>
      <x:c r="K686" s="6" t="str">
        <x:v>См. коды и ограничения на листе «Сопоставления»</x:v>
      </x:c>
      <x:c r="L686" s="6"/>
      <x:c r="M686" s="13" t="str">
        <x:v>https://www.bashinkom.ru/products/ojz/ProbiogranulyKislotolyubivyekustarniki08kg</x:v>
      </x:c>
      <x:c r="N686" s="13"/>
    </x:row>
    <x:row r="687" ht="138" customHeight="1">
      <x:c r="A687" s="9" t="str">
        <x:v>P0682</x:v>
      </x:c>
      <x:c r="B687" s="9" t="str">
        <x:v>БашИнком</x:v>
      </x:c>
      <x:c r="C687" s="9" t="str">
        <x:v>Пробиогранулы "Комнатные цветы"</x:v>
      </x:c>
      <x:c r="D687" s="9" t="str">
        <x:v>Средство для растений/почвы</x:v>
      </x:c>
      <x:c r="E687" s="9" t="str">
        <x:v>Розничный каталог</x:v>
      </x:c>
      <x:c r="F687" s="9" t="str">
        <x:v>C11; C17</x:v>
      </x:c>
      <x:c r="G687" s="9" t="str">
        <x:v>Ферментированный куриный помет, NPK удобрения, микроэлементы (бор, медь, цинк), удобрение ГУМИ (калиевые соли гуминовых и фульвовых кислот), полезные почвенные микроорганизмы. Содержание питательных веществ в пересчете на сухое вещество: - органическое вещество: не менее 20%; - биоактивированные калиевые соли гуминовых (гуматы калия, 0,4-0,6%) и фульвовых (0,08-0,11%) кислот; - макроэлементы, не менее: общий азот — 7%; общий… (сокращено)</x:v>
      </x:c>
      <x:c r="H687" s="9" t="str">
        <x:v>Есть сведения; см. ограничения</x:v>
      </x:c>
      <x:c r="I687" s="9" t="str">
        <x:v>Гранулы</x:v>
      </x:c>
      <x:c r="J687" s="10" t="n">
        <x:v>1</x:v>
      </x:c>
      <x:c r="K687" s="9" t="str">
        <x:v>См. коды и ограничения на листе «Сопоставления»</x:v>
      </x:c>
      <x:c r="L687" s="9"/>
      <x:c r="M687" s="11" t="str">
        <x:v>https://www.bashinkom.ru/products/ojz/UdobreniegranulirovannoeprolongirovannoeKomnatnyetsvety02kg</x:v>
      </x:c>
      <x:c r="N687" s="11"/>
    </x:row>
    <x:row r="688" ht="124" customHeight="1">
      <x:c r="A688" s="6" t="str">
        <x:v>P0683</x:v>
      </x:c>
      <x:c r="B688" s="6" t="str">
        <x:v>БашИнком</x:v>
      </x:c>
      <x:c r="C688" s="6" t="str">
        <x:v>Пробиогранулы "Садовые цветы"</x:v>
      </x:c>
      <x:c r="D688" s="6" t="str">
        <x:v>Средство для растений/почвы</x:v>
      </x:c>
      <x:c r="E688" s="6" t="str">
        <x:v>Розничный каталог</x:v>
      </x:c>
      <x:c r="F688" s="6" t="str">
        <x:v>C17</x:v>
      </x:c>
      <x:c r="G688" s="6" t="str">
        <x:v>Ферментированный куриный помет, NPK удобрения, удобрение ГУМИ (калиевые соли гуминовых и фульвовых кислот), полезные почвенные микроорганизмы. Содержание питательных веществ в пересчете на сухое вещество: - органическое вещество: не менее 20%; - биоактивированные калиевые соли гуминовых (гуматы калия, 0,4-0,6%) и фульвовых (0,08-0,11%) кислот; - макроэлементы, не менее: общий азот 3%; общий фосфор 7%; общий калий – 6%; -… (сокращено)</x:v>
      </x:c>
      <x:c r="H688" s="6" t="str">
        <x:v>Есть сведения; см. ограничения</x:v>
      </x:c>
      <x:c r="I688" s="6" t="str">
        <x:v>Гранулы</x:v>
      </x:c>
      <x:c r="J688" s="12" t="n">
        <x:v>1</x:v>
      </x:c>
      <x:c r="K688" s="6" t="str">
        <x:v>См. коды и ограничения на листе «Сопоставления»</x:v>
      </x:c>
      <x:c r="L688" s="6"/>
      <x:c r="M688" s="13" t="str">
        <x:v>https://www.bashinkom.ru/products/ojz/Probiogranulydlyasadovykhtsvetov08kg</x:v>
      </x:c>
      <x:c r="N688" s="13"/>
    </x:row>
    <x:row r="689" ht="124" customHeight="1">
      <x:c r="A689" s="9" t="str">
        <x:v>P0684</x:v>
      </x:c>
      <x:c r="B689" s="9" t="str">
        <x:v>БашИнком</x:v>
      </x:c>
      <x:c r="C689" s="9" t="str">
        <x:v>Пробиогранулы "Хвойные"</x:v>
      </x:c>
      <x:c r="D689" s="9" t="str">
        <x:v>Средство для растений/почвы</x:v>
      </x:c>
      <x:c r="E689" s="9" t="str">
        <x:v>Розничный каталог</x:v>
      </x:c>
      <x:c r="F689" s="9" t="str">
        <x:v>C09</x:v>
      </x:c>
      <x:c r="G689" s="9" t="str">
        <x:v>Ферментированный куриный помет, NPK удобрения, микроэлементы (бор, медь, цинк), удобрение ГУМИ (калиевые соли гуминовых и фульвовых кислот), полезные почвенные микроорганизмы. Содержание питательных веществ в пересчете на сухое вещество: - органическое вещество: не менее 20%; - биоактивированные калиевые соли гуминовых (гуматы калия, 0,4-0,6%) и фульвовых (0,08-0,11%) кислот; - макроэлементы, не менее: общий азот 5%; общий… (сокращено)</x:v>
      </x:c>
      <x:c r="H689" s="9" t="str">
        <x:v>Есть сведения; см. ограничения</x:v>
      </x:c>
      <x:c r="I689" s="9" t="str">
        <x:v>Гранулы</x:v>
      </x:c>
      <x:c r="J689" s="10" t="n">
        <x:v>1</x:v>
      </x:c>
      <x:c r="K689" s="9" t="str">
        <x:v>См. коды и ограничения на листе «Сопоставления»</x:v>
      </x:c>
      <x:c r="L689" s="9"/>
      <x:c r="M689" s="11" t="str">
        <x:v>https://www.bashinkom.ru/products/ojz/ProbiogranulyKHvoynye</x:v>
      </x:c>
      <x:c r="N689" s="11"/>
    </x:row>
    <x:row r="690" ht="124" customHeight="1">
      <x:c r="A690" s="6" t="str">
        <x:v>P0685</x:v>
      </x:c>
      <x:c r="B690" s="6" t="str">
        <x:v>БашИнком</x:v>
      </x:c>
      <x:c r="C690" s="6" t="str">
        <x:v>Пробиогранулы Весенние</x:v>
      </x:c>
      <x:c r="D690" s="6" t="str">
        <x:v>Средство для растений/почвы</x:v>
      </x:c>
      <x:c r="E690" s="6" t="str">
        <x:v>Розничный каталог</x:v>
      </x:c>
      <x:c r="F690" s="6" t="str">
        <x:v>C22</x:v>
      </x:c>
      <x:c r="G690" s="6" t="str">
        <x:v>Ферментированный куриный помет, NPK удобрения, микроэлементы (бор, медь, цинк), удобрение ГУМИ (калиевые соли гуминовых и фульвовых кислот), полезные почвенные микроорганизмы. Содержание питательных веществ в пересчете на сухое вещество: органическое вещество: не менее 20%; биоактивированные калиевые соли гуминовых (гуматы калия, 0,4-0,6%) и фульвовых (0,08-0,11%) кислот; макроэлементы, не менее: общий азот 7%; общий фосфор… (сокращено)</x:v>
      </x:c>
      <x:c r="H690" s="6" t="str">
        <x:v>Есть сведения; см. ограничения</x:v>
      </x:c>
      <x:c r="I690" s="6" t="str">
        <x:v>Гранулы</x:v>
      </x:c>
      <x:c r="J690" s="12" t="n">
        <x:v>1</x:v>
      </x:c>
      <x:c r="K690" s="6" t="str">
        <x:v>См. коды и ограничения на листе «Сопоставления»</x:v>
      </x:c>
      <x:c r="L690" s="6"/>
      <x:c r="M690" s="13" t="str">
        <x:v>https://www.bashinkom.ru/products/ojz/UdobreniegranulirovannoeprolongirovannoeVesennie08kg</x:v>
      </x:c>
      <x:c r="N690" s="13"/>
    </x:row>
    <x:row r="691" ht="124" customHeight="1">
      <x:c r="A691" s="9" t="str">
        <x:v>P0686</x:v>
      </x:c>
      <x:c r="B691" s="9" t="str">
        <x:v>БашИнком</x:v>
      </x:c>
      <x:c r="C691" s="9" t="str">
        <x:v>Пробиогранулы Осенние</x:v>
      </x:c>
      <x:c r="D691" s="9" t="str">
        <x:v>Средство для растений/почвы</x:v>
      </x:c>
      <x:c r="E691" s="9" t="str">
        <x:v>Розничный каталог</x:v>
      </x:c>
      <x:c r="F691" s="9" t="str">
        <x:v>C21</x:v>
      </x:c>
      <x:c r="G691" s="9" t="str">
        <x:v>Ферментированный куриный помет, NPK удобрения, удобрение ГУМИ (калиевые соли гуминовыхи фульвовыхкислот), полезные почвенные микроорганизмы. Содержание питательных веществ в пересчете на сухое вещество: - органическое вещество: не менее 20%; - биоактивированные калиевые соли гуминовых (гуматы калия, 0,4-0,6%) и фульвовых (0,08-0,11%) кислот; - макроэлементы, не менее: общий азот 1%; общий фосфор 5%; общий калий – 8%; -… (сокращено)</x:v>
      </x:c>
      <x:c r="H691" s="9" t="str">
        <x:v>Есть сведения; см. ограничения</x:v>
      </x:c>
      <x:c r="I691" s="9" t="str">
        <x:v>Гранулы</x:v>
      </x:c>
      <x:c r="J691" s="10" t="n">
        <x:v>1</x:v>
      </x:c>
      <x:c r="K691" s="9" t="str">
        <x:v>См. коды и ограничения на листе «Сопоставления»</x:v>
      </x:c>
      <x:c r="L691" s="9"/>
      <x:c r="M691" s="11" t="str">
        <x:v>https://www.bashinkom.ru/products/ojz/GumiOmiOsenniygranulirovannyy</x:v>
      </x:c>
      <x:c r="N691" s="11"/>
    </x:row>
    <x:row r="692" ht="138" customHeight="1">
      <x:c r="A692" s="6" t="str">
        <x:v>P0687</x:v>
      </x:c>
      <x:c r="B692" s="6" t="str">
        <x:v>БашИнком</x:v>
      </x:c>
      <x:c r="C692" s="6" t="str">
        <x:v>ПРОБИОГРАНУЛЫ-PGPR Весенние NPK 7:2:5 + МЭ + PGPR-бактерии</x:v>
      </x:c>
      <x:c r="D692" s="6" t="str">
        <x:v>Средство для растений/почвы</x:v>
      </x:c>
      <x:c r="E692" s="6" t="str">
        <x:v>Профессиональная линия</x:v>
      </x:c>
      <x:c r="F692" s="6" t="str">
        <x:v>C22</x:v>
      </x:c>
      <x:c r="G692" s="6" t="str">
        <x:v>Ферментированный куриный помет, NPK удобрения, микроэлементы (бор, медь, цинк, марганец, молибден, кобальт), удобрение ГУМИ (соли гуминовых и фульвовых кислот). Содержание питательных веществ в пересчете на сухое вещество:калиевые соли гуминовых (гуматы калия – 0,4–0,6 %) и фульвовых (0,08–0,11 %) кислот макроэлементы, не менее: общий азот – 7 %; общий фосфор – 2 %; общий калий – 5 % микроэлементы: B – 0,005 %, Cu – 0,001 %,… (сокращено)</x:v>
      </x:c>
      <x:c r="H692" s="6" t="str">
        <x:v>Есть сведения; см. ограничения</x:v>
      </x:c>
      <x:c r="I692" s="6" t="str">
        <x:v>гранулы</x:v>
      </x:c>
      <x:c r="J692" s="12" t="n">
        <x:v>1</x:v>
      </x:c>
      <x:c r="K692" s="6" t="str">
        <x:v>См. коды и ограничения на листе «Сопоставления»</x:v>
      </x:c>
      <x:c r="L692" s="6"/>
      <x:c r="M692" s="13" t="str">
        <x:v>https://www.bashinkom.ru/products/prodecor/PROBIOGRANULYPGPRVesennieNPK725MEPGPRbakterii</x:v>
      </x:c>
      <x:c r="N692" s="13"/>
    </x:row>
    <x:row r="693" ht="124" customHeight="1">
      <x:c r="A693" s="9" t="str">
        <x:v>P0688</x:v>
      </x:c>
      <x:c r="B693" s="9" t="str">
        <x:v>БашИнком</x:v>
      </x:c>
      <x:c r="C693" s="9" t="str">
        <x:v>ПРОБИОГРАНУЛЫ-PGPR Декоративные кустарники NPK 5:7:5 + МЭ + PGPR-бактерии</x:v>
      </x:c>
      <x:c r="D693" s="9" t="str">
        <x:v>Средство для растений/почвы</x:v>
      </x:c>
      <x:c r="E693" s="9" t="str">
        <x:v>Профессиональная линия</x:v>
      </x:c>
      <x:c r="F693" s="9" t="str">
        <x:v>C24</x:v>
      </x:c>
      <x:c r="G693" s="9" t="str">
        <x:v>Ферментированный куриный помет, NPK удобрения, микроэлементы (бор, медь, цинк), удобрение ГУМИ (соли гуминовых и фульвовых кислот). Содержание питательных веществ в пересчете на сухое вещество: органическое вещество: не менее 20 %. Калиевые соли гуминовых (гуматы калия – 0,4–0,6 %) и фульвовых (0,08–0,11 %) кислот. Макроэлементы, не менее: общий азот – 5 %; общий фосфор – 7 %; общий калий – 5 %. Микроэлементы: B – 100-300… (сокращено)</x:v>
      </x:c>
      <x:c r="H693" s="9" t="str">
        <x:v>Есть сведения; см. ограничения</x:v>
      </x:c>
      <x:c r="I693" s="9" t="str">
        <x:v>Гранулы</x:v>
      </x:c>
      <x:c r="J693" s="10" t="n">
        <x:v>1</x:v>
      </x:c>
      <x:c r="K693" s="9" t="str">
        <x:v>См. коды и ограничения на листе «Сопоставления»</x:v>
      </x:c>
      <x:c r="L693" s="9"/>
      <x:c r="M693" s="11" t="str">
        <x:v>https://www.bashinkom.ru/products/prodecor/PROBIOGRANULYPGPRDekorativnyekustarnikiNPK575MEPGPRbakterii</x:v>
      </x:c>
      <x:c r="N693" s="11"/>
    </x:row>
    <x:row r="694" ht="138" customHeight="1">
      <x:c r="A694" s="6" t="str">
        <x:v>P0689</x:v>
      </x:c>
      <x:c r="B694" s="6" t="str">
        <x:v>БашИнком</x:v>
      </x:c>
      <x:c r="C694" s="6" t="str">
        <x:v>ПРОБИОГРАНУЛЫ-PGPR Осенние NPK 1:5:8 + МЭ + PGPR-бактерии</x:v>
      </x:c>
      <x:c r="D694" s="6" t="str">
        <x:v>Средство для растений/почвы</x:v>
      </x:c>
      <x:c r="E694" s="6" t="str">
        <x:v>Профессиональная линия</x:v>
      </x:c>
      <x:c r="F694" s="6" t="str">
        <x:v>C21</x:v>
      </x:c>
      <x:c r="G694" s="6" t="str">
        <x:v>Ферментированный куриный помет, NPK удобрения, микроэлементы (бор, медь, цинк), удобрение ГУМИ (соли гуминовых и фульвовых кислот). Содержание питательных веществ в пересчете на сухое вещество: органическое вещество: не менее 20 % калиевые соли гуминовых (гуматы калия – 0,4–0,6 %) и фульвовых (0,08–0,11 %) кислот макроэлементы, не менее: общий азот – 1 %; общий фосфор – 5 %; общий калий – 8 % микроэлементы: B – 100-300 мг/кг,… (сокращено)</x:v>
      </x:c>
      <x:c r="H694" s="6" t="str">
        <x:v>Есть сведения; см. ограничения</x:v>
      </x:c>
      <x:c r="I694" s="6" t="str">
        <x:v>Гранулы</x:v>
      </x:c>
      <x:c r="J694" s="12" t="n">
        <x:v>1</x:v>
      </x:c>
      <x:c r="K694" s="6" t="str">
        <x:v>См. коды и ограничения на листе «Сопоставления»</x:v>
      </x:c>
      <x:c r="L694" s="6"/>
      <x:c r="M694" s="13" t="str">
        <x:v>https://www.bashinkom.ru/products/prodecor/PROBIOGRANULYPGPROsennieNPK158MEPGPRbakterii</x:v>
      </x:c>
      <x:c r="N694" s="13"/>
    </x:row>
    <x:row r="695" ht="138" customHeight="1">
      <x:c r="A695" s="9" t="str">
        <x:v>P0690</x:v>
      </x:c>
      <x:c r="B695" s="9" t="str">
        <x:v>БашИнком</x:v>
      </x:c>
      <x:c r="C695" s="9" t="str">
        <x:v>ПРОБИОГРАНУЛЫ-PGPR Хвойные NPK 5:4:7 + МЭ + PGPR-бактерии</x:v>
      </x:c>
      <x:c r="D695" s="9" t="str">
        <x:v>Средство для растений/почвы</x:v>
      </x:c>
      <x:c r="E695" s="9" t="str">
        <x:v>Профессиональная линия</x:v>
      </x:c>
      <x:c r="F695" s="9" t="str">
        <x:v>C09</x:v>
      </x:c>
      <x:c r="G695" s="9" t="str">
        <x:v>Ферментированный куриный помет, NPK удобрения, микроэлементы (бор, медь, цинк), удобрение ГУМИ (соли гуминовых и фульвовых кислот). Содержание питательных веществ в пересчете на сухое вещество: органическое вещество: не менее 20 % калиевые соли гуминовых (гуматы калия – 0,4–0,6 %) и фульвовых (0,08–0,11 %) кислот макроэлементы, не менее: общий азот – 5 %; общий фосфор – 4 %; общий калий – 7 % микроэлементы: B – 100-300 мг/кг,… (сокращено)</x:v>
      </x:c>
      <x:c r="H695" s="9" t="str">
        <x:v>Есть сведения; см. ограничения</x:v>
      </x:c>
      <x:c r="I695" s="9" t="str">
        <x:v>гранулы</x:v>
      </x:c>
      <x:c r="J695" s="10" t="n">
        <x:v>1</x:v>
      </x:c>
      <x:c r="K695" s="9" t="str">
        <x:v>См. коды и ограничения на листе «Сопоставления»</x:v>
      </x:c>
      <x:c r="L695" s="9"/>
      <x:c r="M695" s="11" t="str">
        <x:v>https://www.bashinkom.ru/products/prodecor/PROBIOGRANULYPGPRKHvoynyeNPK547MEPGPRbakterii</x:v>
      </x:c>
      <x:c r="N695" s="11"/>
    </x:row>
    <x:row r="696" ht="124" customHeight="1">
      <x:c r="A696" s="6" t="str">
        <x:v>P0691</x:v>
      </x:c>
      <x:c r="B696" s="6" t="str">
        <x:v>БашИнком</x:v>
      </x:c>
      <x:c r="C696" s="6" t="str">
        <x:v>ПРОБИОГРАНУЛЫ-PGPR Цветы - NPK 3:7:6 + МЭ + PGPR-бактерии</x:v>
      </x:c>
      <x:c r="D696" s="6" t="str">
        <x:v>Средство для растений/почвы</x:v>
      </x:c>
      <x:c r="E696" s="6" t="str">
        <x:v>Профессиональная линия</x:v>
      </x:c>
      <x:c r="F696" s="6" t="str">
        <x:v>C17</x:v>
      </x:c>
      <x:c r="G696" s="6" t="str">
        <x:v>Ферментированный куриный помет, NPK удобрения, микроэлементы (бор, медь, цинк), удобрение ГУМИ (соли гуминовых и фульвовых кислот). Содержание питательных веществ в пересчете на сухое вещество: органическое вещество: не менее 20 %. Калиевые соли гуминовых (гуматы калия – 0,4–0,6 %) и фульвовых (0,08–0,11 %) кислот макроэлементы, не менее: общий азот – 3 %; общий фосфор – 7 %; общий калий – 6 %.микроэлементы: B – 100-300… (сокращено)</x:v>
      </x:c>
      <x:c r="H696" s="6" t="str">
        <x:v>Есть сведения; см. ограничения</x:v>
      </x:c>
      <x:c r="I696" s="6" t="str">
        <x:v>гранулы</x:v>
      </x:c>
      <x:c r="J696" s="12" t="n">
        <x:v>1</x:v>
      </x:c>
      <x:c r="K696" s="6" t="str">
        <x:v>См. коды и ограничения на листе «Сопоставления»</x:v>
      </x:c>
      <x:c r="L696" s="6"/>
      <x:c r="M696" s="13" t="str">
        <x:v>https://www.bashinkom.ru/products/prodecor/PROBIOGRANULYPGPRTSvetyNPK376MEPGPRbakterii</x:v>
      </x:c>
      <x:c r="N696" s="13"/>
    </x:row>
    <x:row r="697" ht="68" customHeight="1">
      <x:c r="A697" s="9" t="str">
        <x:v>P0692</x:v>
      </x:c>
      <x:c r="B697" s="9" t="str">
        <x:v>БашИнком</x:v>
      </x:c>
      <x:c r="C697" s="9" t="str">
        <x:v>ПухоВитА разрыхлитель оздоравливающий</x:v>
      </x:c>
      <x:c r="D697" s="9" t="str">
        <x:v>Средство для растений/почвы</x:v>
      </x:c>
      <x:c r="E697" s="9" t="str">
        <x:v>Розничный каталог</x:v>
      </x:c>
      <x:c r="F697" s="9" t="str">
        <x:v>G36</x:v>
      </x:c>
      <x:c r="G697" s="9" t="str">
        <x:v>Природные алюмосиликаты осадочного происхождения, природные дружественные фитобактерии, гуматы Гуми, магний 10–14%, калий 3–5%, кальций 1,2–2%, марганец 0,8–1%, железо 5,6–6,5%, кремний 34–36% и др.</x:v>
      </x:c>
      <x:c r="H697" s="9" t="str">
        <x:v>Есть сведения; см. ограничения</x:v>
      </x:c>
      <x:c r="I697" s="9" t="str">
        <x:v>Порошок</x:v>
      </x:c>
      <x:c r="J697" s="10" t="n">
        <x:v>1</x:v>
      </x:c>
      <x:c r="K697" s="9" t="str">
        <x:v>См. коды и ограничения на листе «Сопоставления»</x:v>
      </x:c>
      <x:c r="L697" s="9"/>
      <x:c r="M697" s="11" t="str">
        <x:v>https://www.bashinkom.ru/products/ojz/RazrykhlitelozdoravlivayushchiyPukhoVitA5l</x:v>
      </x:c>
      <x:c r="N697" s="11"/>
    </x:row>
    <x:row r="698" ht="68" customHeight="1">
      <x:c r="A698" s="6" t="str">
        <x:v>P0693</x:v>
      </x:c>
      <x:c r="B698" s="6" t="str">
        <x:v>БашИнком</x:v>
      </x:c>
      <x:c r="C698" s="6" t="str">
        <x:v>Раскислитель ИЗВЕСТЬ–ГУМИ с бором</x:v>
      </x:c>
      <x:c r="D698" s="6" t="str">
        <x:v>Средство для растений/почвы</x:v>
      </x:c>
      <x:c r="E698" s="6" t="str">
        <x:v>Розничный каталог</x:v>
      </x:c>
      <x:c r="F698" s="6" t="str">
        <x:v>G22</x:v>
      </x:c>
      <x:c r="G698" s="6" t="str">
        <x:v>Макроэлементы: азот–0,2%, фосфор–0,4%, калий–0,2%; микроэлементы: бор–880 мг/кг; суммарная массовая доля CaCO 3 и MgCO 3 – 45 %, удобрение Гуми.</x:v>
      </x:c>
      <x:c r="H698" s="6" t="str">
        <x:v>Есть сведения; см. ограничения</x:v>
      </x:c>
      <x:c r="I698" s="6" t="str">
        <x:v>Порошок</x:v>
      </x:c>
      <x:c r="J698" s="12" t="n">
        <x:v>1</x:v>
      </x:c>
      <x:c r="K698" s="6" t="str">
        <x:v>См. коды и ограничения на листе «Сопоставления»</x:v>
      </x:c>
      <x:c r="L698" s="6"/>
      <x:c r="M698" s="13" t="str">
        <x:v>https://www.bashinkom.ru/products/ojz/RaskislitelIZVESTGUMIsborom10kg</x:v>
      </x:c>
      <x:c r="N698" s="13"/>
    </x:row>
    <x:row r="699" ht="68" customHeight="1">
      <x:c r="A699" s="9" t="str">
        <x:v>P0694</x:v>
      </x:c>
      <x:c r="B699" s="9" t="str">
        <x:v>БашИнком</x:v>
      </x:c>
      <x:c r="C699" s="9" t="str">
        <x:v>Раскислитель Известь–Гуми с бором,органоминеральное удобрение</x:v>
      </x:c>
      <x:c r="D699" s="9" t="str">
        <x:v>Средство для растений/почвы</x:v>
      </x:c>
      <x:c r="E699" s="9" t="str">
        <x:v>Розничный каталог</x:v>
      </x:c>
      <x:c r="F699" s="9" t="str">
        <x:v>G22</x:v>
      </x:c>
      <x:c r="G699" s="9" t="str">
        <x:v>Азот–0,2%, фосфор–0,4%, калий–0,2%; микроэлементы: бор–880 мг/кг; суммарная массовая доля CaCO3и MgCO3 – 45 %, удобрение Гуми.</x:v>
      </x:c>
      <x:c r="H699" s="9" t="str">
        <x:v>Есть сведения; см. ограничения</x:v>
      </x:c>
      <x:c r="I699" s="9" t="str">
        <x:v>Порошок</x:v>
      </x:c>
      <x:c r="J699" s="10" t="n">
        <x:v>1</x:v>
      </x:c>
      <x:c r="K699" s="9" t="str">
        <x:v>См. коды и ограничения на листе «Сопоставления»</x:v>
      </x:c>
      <x:c r="L699" s="9"/>
      <x:c r="M699" s="11" t="str">
        <x:v>https://www.bashinkom.ru/products/ojz/RaskislitelIZVESTGUMIsboromorganomineralnoeudobrenie2kg</x:v>
      </x:c>
      <x:c r="N699" s="11"/>
    </x:row>
    <x:row r="700" ht="68" customHeight="1">
      <x:c r="A700" s="6" t="str">
        <x:v>P0695</x:v>
      </x:c>
      <x:c r="B700" s="6" t="str">
        <x:v>БашИнком</x:v>
      </x:c>
      <x:c r="C700" s="6" t="str">
        <x:v>Регулятор кислотности "Радужный"</x:v>
      </x:c>
      <x:c r="D700" s="6" t="str">
        <x:v>Средство для растений/почвы</x:v>
      </x:c>
      <x:c r="E700" s="6" t="str">
        <x:v>Профессиональная линия</x:v>
      </x:c>
      <x:c r="F700" s="6" t="str">
        <x:v>G23</x:v>
      </x:c>
      <x:c r="G700" s="6" t="str">
        <x:v>Органическая кислота, комплексообразователь, индикатор, вода.</x:v>
      </x:c>
      <x:c r="H700" s="6" t="str">
        <x:v>Есть сведения; см. ограничения</x:v>
      </x:c>
      <x:c r="I700" s="6" t="str">
        <x:v>Жидкость</x:v>
      </x:c>
      <x:c r="J700" s="12" t="n">
        <x:v>1</x:v>
      </x:c>
      <x:c r="K700" s="6" t="str">
        <x:v>См. коды и ограничения на листе «Сопоставления»</x:v>
      </x:c>
      <x:c r="L700" s="6"/>
      <x:c r="M700" s="13" t="str">
        <x:v>https://www.bashinkom.ru/products/avz/RegulyatorkislotnostiRaduzhnyy</x:v>
      </x:c>
      <x:c r="N700" s="13"/>
    </x:row>
    <x:row r="701" ht="68" customHeight="1">
      <x:c r="A701" s="9" t="str">
        <x:v>P0696</x:v>
      </x:c>
      <x:c r="B701" s="9" t="str">
        <x:v>БашИнком</x:v>
      </x:c>
      <x:c r="C701" s="9" t="str">
        <x:v>РизоБаш - Горох и Чечевица</x:v>
      </x:c>
      <x:c r="D701" s="9" t="str">
        <x:v>Средство для растений/почвы</x:v>
      </x:c>
      <x:c r="E701" s="9" t="str">
        <x:v>Профессиональная линия</x:v>
      </x:c>
      <x:c r="F701" s="9" t="str">
        <x:v>—</x:v>
      </x:c>
      <x:c r="G701" s="9" t="str">
        <x:v>Жизнеспособные клетки клубеньковых бактерий Rhizobium leguminosarum, штамм 202б ВКПМ В-21, витамины, фитогормоны, полисахариды, протекторные вещества</x:v>
      </x:c>
      <x:c r="H701" s="9" t="str">
        <x:v>Есть сведения; см. ограничения</x:v>
      </x:c>
      <x:c r="I701" s="9" t="str">
        <x:v>Жидкость</x:v>
      </x:c>
      <x:c r="J701" s="10" t="n">
        <x:v>1</x:v>
      </x:c>
      <x:c r="K701" s="9" t="str">
        <x:v>Близкий аналог не подтвержден</x:v>
      </x:c>
      <x:c r="L701" s="9"/>
      <x:c r="M701" s="11" t="str">
        <x:v>https://www.bashinkom.ru/products/avz/RizoBashGorokhCHechevitsa</x:v>
      </x:c>
      <x:c r="N701" s="11"/>
    </x:row>
    <x:row r="702" ht="68" customHeight="1">
      <x:c r="A702" s="6" t="str">
        <x:v>P0697</x:v>
      </x:c>
      <x:c r="B702" s="6" t="str">
        <x:v>БашИнком</x:v>
      </x:c>
      <x:c r="C702" s="6" t="str">
        <x:v>РизоБаш - Нут</x:v>
      </x:c>
      <x:c r="D702" s="6" t="str">
        <x:v>Средство для растений/почвы</x:v>
      </x:c>
      <x:c r="E702" s="6" t="str">
        <x:v>Профессиональная линия</x:v>
      </x:c>
      <x:c r="F702" s="6" t="str">
        <x:v>—</x:v>
      </x:c>
      <x:c r="G702" s="6" t="str">
        <x:v>Жизнеспособные клетки клубеньковых бактерий Mesorhizobium (Rhizobium) cicerо, штамм ВКПМ В-11085, витамины, фитогормоны, полисахариды, протекторные вещества</x:v>
      </x:c>
      <x:c r="H702" s="6" t="str">
        <x:v>Есть сведения; см. ограничения</x:v>
      </x:c>
      <x:c r="I702" s="6" t="str">
        <x:v>Жидкость</x:v>
      </x:c>
      <x:c r="J702" s="12" t="n">
        <x:v>1</x:v>
      </x:c>
      <x:c r="K702" s="6" t="str">
        <x:v>Близкий аналог не подтвержден</x:v>
      </x:c>
      <x:c r="L702" s="6"/>
      <x:c r="M702" s="13" t="str">
        <x:v>https://www.bashinkom.ru/products/avz/RizoBashNut</x:v>
      </x:c>
      <x:c r="N702" s="13"/>
    </x:row>
    <x:row r="703" ht="68" customHeight="1">
      <x:c r="A703" s="9" t="str">
        <x:v>P0698</x:v>
      </x:c>
      <x:c r="B703" s="9" t="str">
        <x:v>БашИнком</x:v>
      </x:c>
      <x:c r="C703" s="9" t="str">
        <x:v>РизоБаш - Соя</x:v>
      </x:c>
      <x:c r="D703" s="9" t="str">
        <x:v>Средство для растений/почвы</x:v>
      </x:c>
      <x:c r="E703" s="9" t="str">
        <x:v>Профессиональная линия</x:v>
      </x:c>
      <x:c r="F703" s="9" t="str">
        <x:v>—</x:v>
      </x:c>
      <x:c r="G703" s="9" t="str">
        <x:v>Жизнеспособные клетки клубеньковых бактерий Bradyrhizobium japonicum (Rhizobium japonicum), штамм ВКПМ В-10433, витамины, фитогормоны, полисахариды, протекторные вещества</x:v>
      </x:c>
      <x:c r="H703" s="9" t="str">
        <x:v>Есть сведения; см. ограничения</x:v>
      </x:c>
      <x:c r="I703" s="9" t="str">
        <x:v>Жидкость</x:v>
      </x:c>
      <x:c r="J703" s="10" t="n">
        <x:v>1</x:v>
      </x:c>
      <x:c r="K703" s="9" t="str">
        <x:v>Близкий аналог не подтвержден</x:v>
      </x:c>
      <x:c r="L703" s="9"/>
      <x:c r="M703" s="11" t="str">
        <x:v>https://www.bashinkom.ru/products/avz/RizoBashSoya</x:v>
      </x:c>
      <x:c r="N703" s="11"/>
    </x:row>
    <x:row r="704" ht="68" customHeight="1">
      <x:c r="A704" s="6" t="str">
        <x:v>P0699</x:v>
      </x:c>
      <x:c r="B704" s="6" t="str">
        <x:v>БашИнком</x:v>
      </x:c>
      <x:c r="C704" s="6" t="str">
        <x:v>СоткА чернозема гумуса плодородия</x:v>
      </x:c>
      <x:c r="D704" s="6" t="str">
        <x:v>Средство для растений/почвы</x:v>
      </x:c>
      <x:c r="E704" s="6" t="str">
        <x:v>Розничный каталог</x:v>
      </x:c>
      <x:c r="F704" s="6" t="str">
        <x:v>G09</x:v>
      </x:c>
      <x:c r="G704" s="6" t="str">
        <x:v>Биоактивированные гумусные вещества 10-12%, более 80 природных микроэлементов и минералов, полезные фитобактерии.</x:v>
      </x:c>
      <x:c r="H704" s="6" t="str">
        <x:v>Есть сведения; см. ограничения</x:v>
      </x:c>
      <x:c r="I704" s="6" t="str">
        <x:v>Жидкость</x:v>
      </x:c>
      <x:c r="J704" s="12" t="n">
        <x:v>1</x:v>
      </x:c>
      <x:c r="K704" s="6" t="str">
        <x:v>См. коды и ограничения на листе «Сопоставления»</x:v>
      </x:c>
      <x:c r="L704" s="6"/>
      <x:c r="M704" s="13" t="str">
        <x:v>https://www.bashinkom.ru/products/ojz/SotkAchernozemagumusaplodorodiya1l</x:v>
      </x:c>
      <x:c r="N704" s="13"/>
    </x:row>
    <x:row r="705" ht="82" customHeight="1">
      <x:c r="A705" s="9" t="str">
        <x:v>P0700</x:v>
      </x:c>
      <x:c r="B705" s="9" t="str">
        <x:v>БашИнком</x:v>
      </x:c>
      <x:c r="C705" s="9" t="str">
        <x:v>Стерня-12</x:v>
      </x:c>
      <x:c r="D705" s="9" t="str">
        <x:v>Средство для растений/почвы</x:v>
      </x:c>
      <x:c r="E705" s="9" t="str">
        <x:v>Профессиональная линия</x:v>
      </x:c>
      <x:c r="F705" s="9" t="str">
        <x:v>G11</x:v>
      </x:c>
      <x:c r="G705" s="9" t="str">
        <x:v>4 штамма спорообразующих бактерий Basillus subtillis ( не менее 10^8 КОЕ/мл); 3 штамма гриба Trichoderma, молочнокислые, фосфор- и калиймобилизующие, азотфиксирующие бактерии; природные полисахариды, фитогормоны, витамины, L- аминокислоты; гумат калия – 0.5 %</x:v>
      </x:c>
      <x:c r="H705" s="9" t="str">
        <x:v>Есть сведения; см. ограничения</x:v>
      </x:c>
      <x:c r="I705" s="9" t="str">
        <x:v>Жидкость</x:v>
      </x:c>
      <x:c r="J705" s="10" t="n">
        <x:v>1</x:v>
      </x:c>
      <x:c r="K705" s="9" t="str">
        <x:v>См. коды и ограничения на листе «Сопоставления»</x:v>
      </x:c>
      <x:c r="L705" s="9"/>
      <x:c r="M705" s="11" t="str">
        <x:v>https://www.bashinkom.ru/products/avz/Sternya12</x:v>
      </x:c>
      <x:c r="N705" s="11"/>
    </x:row>
    <x:row r="706" ht="68" customHeight="1">
      <x:c r="A706" s="6" t="str">
        <x:v>P0701</x:v>
      </x:c>
      <x:c r="B706" s="6" t="str">
        <x:v>БашИнком</x:v>
      </x:c>
      <x:c r="C706" s="6" t="str">
        <x:v>Стрептобаш</x:v>
      </x:c>
      <x:c r="D706" s="6" t="str">
        <x:v>Средство для растений/почвы</x:v>
      </x:c>
      <x:c r="E706" s="6" t="str">
        <x:v>Профессиональная линия</x:v>
      </x:c>
      <x:c r="F706" s="6" t="str">
        <x:v>—</x:v>
      </x:c>
      <x:c r="G706" s="6" t="str">
        <x:v>Жирные кислоты и гликоли растительного происхождения, метаболиты природных микрооранизмов.</x:v>
      </x:c>
      <x:c r="H706" s="6" t="str">
        <x:v>Есть сведения; см. ограничения</x:v>
      </x:c>
      <x:c r="I706" s="6" t="str">
        <x:v>жидкость</x:v>
      </x:c>
      <x:c r="J706" s="12" t="n">
        <x:v>1</x:v>
      </x:c>
      <x:c r="K706" s="6" t="str">
        <x:v>Близкий аналог не подтвержден</x:v>
      </x:c>
      <x:c r="L706" s="6"/>
      <x:c r="M706" s="13" t="str">
        <x:v>https://www.bashinkom.ru/products/prodecor/BiopreparatStreptobash</x:v>
      </x:c>
      <x:c r="N706" s="13"/>
    </x:row>
    <x:row r="707" ht="68" customHeight="1">
      <x:c r="A707" s="9" t="str">
        <x:v>P0702</x:v>
      </x:c>
      <x:c r="B707" s="9" t="str">
        <x:v>БашИнком</x:v>
      </x:c>
      <x:c r="C707" s="9" t="str">
        <x:v>Стручклей</x:v>
      </x:c>
      <x:c r="D707" s="9" t="str">
        <x:v>Средство для растений/почвы</x:v>
      </x:c>
      <x:c r="E707" s="9" t="str">
        <x:v>Профессиональная линия</x:v>
      </x:c>
      <x:c r="F707" s="9" t="str">
        <x:v>—</x:v>
      </x:c>
      <x:c r="G707" s="9" t="str">
        <x:v>Органическая кислота, комплексообразователь, вода.</x:v>
      </x:c>
      <x:c r="H707" s="9" t="str">
        <x:v>Есть сведения; см. ограничения</x:v>
      </x:c>
      <x:c r="I707" s="9" t="str">
        <x:v>Жидкость</x:v>
      </x:c>
      <x:c r="J707" s="10" t="n">
        <x:v>1</x:v>
      </x:c>
      <x:c r="K707" s="9" t="str">
        <x:v>Близкий аналог не подтвержден</x:v>
      </x:c>
      <x:c r="L707" s="9"/>
      <x:c r="M707" s="11" t="str">
        <x:v>https://www.bashinkom.ru/products/avz/Struchkley</x:v>
      </x:c>
      <x:c r="N707" s="11"/>
    </x:row>
    <x:row r="708" ht="124" customHeight="1">
      <x:c r="A708" s="6" t="str">
        <x:v>P0703</x:v>
      </x:c>
      <x:c r="B708" s="6" t="str">
        <x:v>БашИнком</x:v>
      </x:c>
      <x:c r="C708" s="6" t="str">
        <x:v>Субстрат с кормилицей для выращивания растений "Страна Аркадия" для бромелиевых</x:v>
      </x:c>
      <x:c r="D708" s="6" t="str">
        <x:v>Средство для растений/почвы</x:v>
      </x:c>
      <x:c r="E708" s="6" t="str">
        <x:v>Розничный каталог</x:v>
      </x:c>
      <x:c r="F708" s="6" t="str">
        <x:v>G37</x:v>
      </x:c>
      <x:c r="G708" s="6" t="str">
        <x:v>Природные пористые материалы органического и минерального происхождения – перлит, песок среднезернистый, торф верховой, мох таежный, почвогрунт Земля-Матушка со всеми необходимыми элементами питания, биопрепараты, которые улучшают питание, приживаемость при пересадке, защищают от болезней, полезные фитобактерии Фитоспорина, эликсир плодородия Гуми, природная дружественная грибница Кормилица Микориза.</x:v>
      </x:c>
      <x:c r="H708" s="6" t="str">
        <x:v>Есть сведения; см. ограничения</x:v>
      </x:c>
      <x:c r="I708" s="6" t="str">
        <x:v>Сухая смесь</x:v>
      </x:c>
      <x:c r="J708" s="12" t="n">
        <x:v>1</x:v>
      </x:c>
      <x:c r="K708" s="6" t="str">
        <x:v>См. коды и ограничения на листе «Сопоставления»</x:v>
      </x:c>
      <x:c r="L708" s="6"/>
      <x:c r="M708" s="13" t="str">
        <x:v>https://www.bashinkom.ru/products/ojz/MIKORIZIROVANNYYSUBSTRATDLYAVYRASHCHIVANIYARASTENIYSTRANAARKADIYADLYABROMELIEVYKH</x:v>
      </x:c>
      <x:c r="N708" s="13"/>
    </x:row>
    <x:row r="709" ht="96" customHeight="1">
      <x:c r="A709" s="9" t="str">
        <x:v>P0704</x:v>
      </x:c>
      <x:c r="B709" s="9" t="str">
        <x:v>БашИнком</x:v>
      </x:c>
      <x:c r="C709" s="9" t="str">
        <x:v>Субстрат с кормилицей для выращивания растений "Страна Аркадия" для орхидей</x:v>
      </x:c>
      <x:c r="D709" s="9" t="str">
        <x:v>Средство для растений/почвы</x:v>
      </x:c>
      <x:c r="E709" s="9" t="str">
        <x:v>Розничный каталог</x:v>
      </x:c>
      <x:c r="F709" s="9" t="str">
        <x:v>G37</x:v>
      </x:c>
      <x:c r="G709" s="9" t="str">
        <x:v>Природные пористые материалы органического и минерального происхождения – мох сфагнум, кора хвойных деревьев, уголь древесный, биопрепараты, которые улучшают питание, приживаемость при пересадке, защищают от болезней, полезные фитобактерии Фитоспорина, эликсир плодородия Гуми, природная дружественная грибница Кормилица Микориза.</x:v>
      </x:c>
      <x:c r="H709" s="9" t="str">
        <x:v>Есть сведения; см. ограничения</x:v>
      </x:c>
      <x:c r="I709" s="9" t="str">
        <x:v>Сухая смесь</x:v>
      </x:c>
      <x:c r="J709" s="10" t="n">
        <x:v>1</x:v>
      </x:c>
      <x:c r="K709" s="9" t="str">
        <x:v>См. коды и ограничения на листе «Сопоставления»</x:v>
      </x:c>
      <x:c r="L709" s="9"/>
      <x:c r="M709" s="11" t="str">
        <x:v>https://www.bashinkom.ru/products/ojz/MikrorizirovannyysubstratdlyavyrashchivaniyarasteniyStranaArkadidlyaorkhidey</x:v>
      </x:c>
      <x:c r="N709" s="11"/>
    </x:row>
    <x:row r="710" ht="124" customHeight="1">
      <x:c r="A710" s="6" t="str">
        <x:v>P0705</x:v>
      </x:c>
      <x:c r="B710" s="6" t="str">
        <x:v>БашИнком</x:v>
      </x:c>
      <x:c r="C710" s="6" t="str">
        <x:v>Субстрат с кормилицей для выращивания растений "Страна Аркадия" для папоротников</x:v>
      </x:c>
      <x:c r="D710" s="6" t="str">
        <x:v>Средство для растений/почвы</x:v>
      </x:c>
      <x:c r="E710" s="6" t="str">
        <x:v>Розничный каталог</x:v>
      </x:c>
      <x:c r="F710" s="6" t="str">
        <x:v>G37</x:v>
      </x:c>
      <x:c r="G710" s="6" t="str">
        <x:v>Природные пористые материалы органического и минерального происхождения – перлит, песок среднезернистый, мох таежный, торф верховой, почвогрунт Земля-Матушка со всеми необходимыми элементами питания, биопрепараты, которые улучшают питание, приживаемость при пересадке, защищают от болезней, полезные фитобактерии Фитоспорина, эликсир плодородия Гуми, природная дружественная грибница Кормилица Микориза.</x:v>
      </x:c>
      <x:c r="H710" s="6" t="str">
        <x:v>Есть сведения; см. ограничения</x:v>
      </x:c>
      <x:c r="I710" s="6" t="str">
        <x:v>Сухая смесь</x:v>
      </x:c>
      <x:c r="J710" s="12" t="n">
        <x:v>1</x:v>
      </x:c>
      <x:c r="K710" s="6" t="str">
        <x:v>См. коды и ограничения на листе «Сопоставления»</x:v>
      </x:c>
      <x:c r="L710" s="6"/>
      <x:c r="M710" s="13" t="str">
        <x:v>https://www.bashinkom.ru/products/ojz/MikorizirovannyysubstratdlyavyrashchivaniyarasteniyStranaArkadiyadlyapaporotnikov</x:v>
      </x:c>
      <x:c r="N710" s="13"/>
    </x:row>
    <x:row r="711" ht="124" customHeight="1">
      <x:c r="A711" s="9" t="str">
        <x:v>P0706</x:v>
      </x:c>
      <x:c r="B711" s="9" t="str">
        <x:v>БашИнком</x:v>
      </x:c>
      <x:c r="C711" s="9" t="str">
        <x:v>Субстрат с кормилицей для выращивания растений "Страна Аркадия" для эпифитных кактусов</x:v>
      </x:c>
      <x:c r="D711" s="9" t="str">
        <x:v>Средство для растений/почвы</x:v>
      </x:c>
      <x:c r="E711" s="9" t="str">
        <x:v>Розничный каталог</x:v>
      </x:c>
      <x:c r="F711" s="9" t="str">
        <x:v>G37</x:v>
      </x:c>
      <x:c r="G711" s="9" t="str">
        <x:v>Природные пористые материалы органического и минерального происхождения – песок крупнозернистый, мох таежный, торф верховой, почвогрунт Земля-Матушка со всеми необходимыми элементами питания, биопрепараты, которые улучшают питание, приживаемость при пересадке, защищают от болезней, полезные фитобактерии Фитоспорина, эликсир плодородия Гуми, природная дружественная грибница Кормилица Микориза</x:v>
      </x:c>
      <x:c r="H711" s="9" t="str">
        <x:v>Есть сведения; см. ограничения</x:v>
      </x:c>
      <x:c r="I711" s="9" t="str">
        <x:v>Сухая смесь</x:v>
      </x:c>
      <x:c r="J711" s="10" t="n">
        <x:v>1</x:v>
      </x:c>
      <x:c r="K711" s="9" t="str">
        <x:v>См. коды и ограничения на листе «Сопоставления»</x:v>
      </x:c>
      <x:c r="L711" s="9"/>
      <x:c r="M711" s="11" t="str">
        <x:v>https://www.bashinkom.ru/products/ojz/MikorizirovannyysubstratdlyavyrashchivaniyarasteniyStranaArkadiya</x:v>
      </x:c>
      <x:c r="N711" s="11"/>
    </x:row>
    <x:row r="712" ht="82" customHeight="1">
      <x:c r="A712" s="6" t="str">
        <x:v>P0707</x:v>
      </x:c>
      <x:c r="B712" s="6" t="str">
        <x:v>БашИнком</x:v>
      </x:c>
      <x:c r="C712" s="6" t="str">
        <x:v>Субстрат с кормилицей для выращивания растений "Страна Аркадия"для сенполий</x:v>
      </x:c>
      <x:c r="D712" s="6" t="str">
        <x:v>Средство для растений/почвы</x:v>
      </x:c>
      <x:c r="E712" s="6" t="str">
        <x:v>Розничный каталог</x:v>
      </x:c>
      <x:c r="F712" s="6" t="str">
        <x:v>G37</x:v>
      </x:c>
      <x:c r="G712" s="6" t="str">
        <x:v>Природные пористые материалы органического и минерального происхождения – торф верховой, древесный уголь, биопрепараты, которые улучшают питание, приживаемость при пересадке, защищают от болезней, эликсир плодородия Гуми, природная дружественная грибница Кормилица Микориза.</x:v>
      </x:c>
      <x:c r="H712" s="6" t="str">
        <x:v>Есть сведения; см. ограничения</x:v>
      </x:c>
      <x:c r="I712" s="6" t="str">
        <x:v>Сухая смесь</x:v>
      </x:c>
      <x:c r="J712" s="12" t="n">
        <x:v>1</x:v>
      </x:c>
      <x:c r="K712" s="6" t="str">
        <x:v>См. коды и ограничения на листе «Сопоставления»</x:v>
      </x:c>
      <x:c r="L712" s="6"/>
      <x:c r="M712" s="13" t="str">
        <x:v>https://www.bashinkom.ru/products/ojz/MikorizirovannyysubstratdlyavyrashchivaniyarasteniyStranaArkadiyadlyasenpoliy</x:v>
      </x:c>
      <x:c r="N712" s="13"/>
    </x:row>
    <x:row r="713" ht="68" customHeight="1">
      <x:c r="A713" s="9" t="str">
        <x:v>P0708</x:v>
      </x:c>
      <x:c r="B713" s="9" t="str">
        <x:v>БашИнком</x:v>
      </x:c>
      <x:c r="C713" s="9" t="str">
        <x:v>Супер Кыш-Муравей</x:v>
      </x:c>
      <x:c r="D713" s="9" t="str">
        <x:v>Средство для растений/почвы</x:v>
      </x:c>
      <x:c r="E713" s="9" t="str">
        <x:v>Розничный каталог</x:v>
      </x:c>
      <x:c r="F713" s="9" t="str">
        <x:v>G32</x:v>
      </x:c>
      <x:c r="G713" s="9" t="str">
        <x:v>Природный сорбент, деготь березовый</x:v>
      </x:c>
      <x:c r="H713" s="9" t="str">
        <x:v>Есть сведения; см. ограничения</x:v>
      </x:c>
      <x:c r="I713" s="9" t="str">
        <x:v>гранулированный порошок</x:v>
      </x:c>
      <x:c r="J713" s="10" t="n">
        <x:v>1</x:v>
      </x:c>
      <x:c r="K713" s="9" t="str">
        <x:v>См. коды и ограничения на листе «Сопоставления»</x:v>
      </x:c>
      <x:c r="L713" s="9"/>
      <x:c r="M713" s="11" t="str">
        <x:v>https://www.bashinkom.ru/products/ojz/SuperKyshMuravey03kg</x:v>
      </x:c>
      <x:c r="N713" s="11"/>
    </x:row>
    <x:row r="714" ht="68" customHeight="1">
      <x:c r="A714" s="6" t="str">
        <x:v>P0709</x:v>
      </x:c>
      <x:c r="B714" s="6" t="str">
        <x:v>БашИнком</x:v>
      </x:c>
      <x:c r="C714" s="6" t="str">
        <x:v>Теплород-Плодород</x:v>
      </x:c>
      <x:c r="D714" s="6" t="str">
        <x:v>Средство для растений/почвы</x:v>
      </x:c>
      <x:c r="E714" s="6" t="str">
        <x:v>Розничный каталог</x:v>
      </x:c>
      <x:c r="F714" s="6" t="str">
        <x:v>G36</x:v>
      </x:c>
      <x:c r="G714" s="6" t="str">
        <x:v>Молодые тёмные бурые угли, Гуми, Фитоспорин</x:v>
      </x:c>
      <x:c r="H714" s="6" t="str">
        <x:v>Есть сведения; см. ограничения</x:v>
      </x:c>
      <x:c r="I714" s="6" t="str">
        <x:v>Сыпучее вещество</x:v>
      </x:c>
      <x:c r="J714" s="12" t="n">
        <x:v>1</x:v>
      </x:c>
      <x:c r="K714" s="6" t="str">
        <x:v>См. коды и ограничения на листе «Сопоставления»</x:v>
      </x:c>
      <x:c r="L714" s="6"/>
      <x:c r="M714" s="13" t="str">
        <x:v>https://www.bashinkom.ru/products/ojz/TeplorodPlodorod1kg</x:v>
      </x:c>
      <x:c r="N714" s="13"/>
    </x:row>
    <x:row r="715" ht="68" customHeight="1">
      <x:c r="A715" s="9" t="str">
        <x:v>P0710</x:v>
      </x:c>
      <x:c r="B715" s="9" t="str">
        <x:v>БашИнком</x:v>
      </x:c>
      <x:c r="C715" s="9" t="str">
        <x:v>ТиоБаш</x:v>
      </x:c>
      <x:c r="D715" s="9" t="str">
        <x:v>Средство для растений/почвы</x:v>
      </x:c>
      <x:c r="E715" s="9" t="str">
        <x:v>Розничный каталог</x:v>
      </x:c>
      <x:c r="F715" s="9" t="str">
        <x:v>G07</x:v>
      </x:c>
      <x:c r="G715" s="9" t="str">
        <x:v>Калийные соли растительных жирных кислот, сера – 74%, азот – 3%, магний – 5%, биоприлипатель БиоЛипостим</x:v>
      </x:c>
      <x:c r="H715" s="9" t="str">
        <x:v>Есть сведения; см. ограничения</x:v>
      </x:c>
      <x:c r="I715" s="9" t="str">
        <x:v>Жидкость</x:v>
      </x:c>
      <x:c r="J715" s="10" t="n">
        <x:v>2</x:v>
      </x:c>
      <x:c r="K715" s="9" t="str">
        <x:v>См. коды и ограничения на листе «Сопоставления»</x:v>
      </x:c>
      <x:c r="L715" s="9"/>
      <x:c r="M715" s="11" t="str">
        <x:v>https://www.bashinkom.ru/products/ojz/TioBash05l</x:v>
      </x:c>
      <x:c r="N715" s="11"/>
    </x:row>
    <x:row r="716" ht="68" customHeight="1">
      <x:c r="A716" s="6" t="str">
        <x:v>P0711</x:v>
      </x:c>
      <x:c r="B716" s="6" t="str">
        <x:v>БашИнком</x:v>
      </x:c>
      <x:c r="C716" s="6" t="str">
        <x:v>ТиоБаш</x:v>
      </x:c>
      <x:c r="D716" s="6" t="str">
        <x:v>Средство для растений/почвы</x:v>
      </x:c>
      <x:c r="E716" s="6" t="str">
        <x:v>Профессиональная линия</x:v>
      </x:c>
      <x:c r="F716" s="6" t="str">
        <x:v>G07</x:v>
      </x:c>
      <x:c r="G716" s="6" t="str">
        <x:v>SO –65%; N–3%; MgO–5%.</x:v>
      </x:c>
      <x:c r="H716" s="6" t="str">
        <x:v>Есть сведения; см. ограничения</x:v>
      </x:c>
      <x:c r="I716" s="6" t="str">
        <x:v>Жидкость</x:v>
      </x:c>
      <x:c r="J716" s="12" t="n">
        <x:v>1</x:v>
      </x:c>
      <x:c r="K716" s="6" t="str">
        <x:v>См. коды и ограничения на листе «Сопоставления»</x:v>
      </x:c>
      <x:c r="L716" s="6"/>
      <x:c r="M716" s="13" t="str">
        <x:v>https://www.bashinkom.ru/products/avz/TioBash</x:v>
      </x:c>
      <x:c r="N716" s="13"/>
    </x:row>
    <x:row r="717" ht="68" customHeight="1">
      <x:c r="A717" s="9" t="str">
        <x:v>P0712</x:v>
      </x:c>
      <x:c r="B717" s="9" t="str">
        <x:v>БашИнком</x:v>
      </x:c>
      <x:c r="C717" s="9" t="str">
        <x:v>Торф Башкирский</x:v>
      </x:c>
      <x:c r="D717" s="9" t="str">
        <x:v>Средство для растений/почвы</x:v>
      </x:c>
      <x:c r="E717" s="9" t="str">
        <x:v>Розничный каталог</x:v>
      </x:c>
      <x:c r="F717" s="9" t="str">
        <x:v>—</x:v>
      </x:c>
      <x:c r="G717" s="9" t="str">
        <x:v>Почвогунт. Содержит макроэлементы: азот – 30-100 мг/кг, калий – 15-50 мг/кг; органическое вещество – 60%.</x:v>
      </x:c>
      <x:c r="H717" s="9" t="str">
        <x:v>Есть сведения; см. ограничения</x:v>
      </x:c>
      <x:c r="I717" s="9" t="str">
        <x:v>Почвогрунт</x:v>
      </x:c>
      <x:c r="J717" s="10" t="n">
        <x:v>1</x:v>
      </x:c>
      <x:c r="K717" s="9" t="str">
        <x:v>Близкий аналог не подтвержден</x:v>
      </x:c>
      <x:c r="L717" s="9"/>
      <x:c r="M717" s="11" t="str">
        <x:v>https://www.bashinkom.ru/products/ojz/TorfBashkirskiy5l</x:v>
      </x:c>
      <x:c r="N717" s="11"/>
    </x:row>
    <x:row r="718" ht="68" customHeight="1">
      <x:c r="A718" s="6" t="str">
        <x:v>P0713</x:v>
      </x:c>
      <x:c r="B718" s="6" t="str">
        <x:v>БашИнком</x:v>
      </x:c>
      <x:c r="C718" s="6" t="str">
        <x:v>Торфяные таблетки АС-35 "Богатый биостарт"</x:v>
      </x:c>
      <x:c r="D718" s="6" t="str">
        <x:v>Средство для растений/почвы</x:v>
      </x:c>
      <x:c r="E718" s="6" t="str">
        <x:v>Розничный каталог</x:v>
      </x:c>
      <x:c r="F718" s="6" t="str">
        <x:v>—</x:v>
      </x:c>
      <x:c r="G718" s="6" t="str">
        <x:v>Торф верховой и низинный, натриевые соли гуминовых и фульвовых кислот, ассоциация 35 полезных почвенных микроорганизмов.</x:v>
      </x:c>
      <x:c r="H718" s="6" t="str">
        <x:v>Есть сведения; см. ограничения</x:v>
      </x:c>
      <x:c r="I718" s="6" t="str">
        <x:v>Таблетки</x:v>
      </x:c>
      <x:c r="J718" s="12" t="n">
        <x:v>1</x:v>
      </x:c>
      <x:c r="K718" s="6" t="str">
        <x:v>Близкий аналог не подтвержден</x:v>
      </x:c>
      <x:c r="L718" s="6"/>
      <x:c r="M718" s="13" t="str">
        <x:v>https://www.bashinkom.ru/products/ojz/TorfyanyetabletkiAS35Bogatyybiostart50g</x:v>
      </x:c>
      <x:c r="N718" s="13"/>
    </x:row>
    <x:row r="719" ht="68" customHeight="1">
      <x:c r="A719" s="9" t="str">
        <x:v>P0714</x:v>
      </x:c>
      <x:c r="B719" s="9" t="str">
        <x:v>БашИнком</x:v>
      </x:c>
      <x:c r="C719" s="9" t="str">
        <x:v>Торфяные таблетки АС-35 "Богатый сезон"</x:v>
      </x:c>
      <x:c r="D719" s="9" t="str">
        <x:v>Средство для растений/почвы</x:v>
      </x:c>
      <x:c r="E719" s="9" t="str">
        <x:v>Розничный каталог</x:v>
      </x:c>
      <x:c r="F719" s="9" t="str">
        <x:v>—</x:v>
      </x:c>
      <x:c r="G719" s="9" t="str">
        <x:v>Торф верховный и низинный, натриевые соли гуминовых и фульвовых кислот, ассоциация 35 полезных почвенных микроорганизмов.</x:v>
      </x:c>
      <x:c r="H719" s="9" t="str">
        <x:v>Есть сведения; см. ограничения</x:v>
      </x:c>
      <x:c r="I719" s="9" t="str">
        <x:v>таблетки</x:v>
      </x:c>
      <x:c r="J719" s="10" t="n">
        <x:v>1</x:v>
      </x:c>
      <x:c r="K719" s="9" t="str">
        <x:v>Близкий аналог не подтвержден</x:v>
      </x:c>
      <x:c r="L719" s="9"/>
      <x:c r="M719" s="11" t="str">
        <x:v>https://www.bashinkom.ru/products/ojz/TorfyanyetabletkiAS35Bogatyysezon</x:v>
      </x:c>
      <x:c r="N719" s="11"/>
    </x:row>
    <x:row r="720" ht="68" customHeight="1">
      <x:c r="A720" s="6" t="str">
        <x:v>P0715</x:v>
      </x:c>
      <x:c r="B720" s="6" t="str">
        <x:v>БашИнком</x:v>
      </x:c>
      <x:c r="C720" s="6" t="str">
        <x:v>Триходермикс</x:v>
      </x:c>
      <x:c r="D720" s="6" t="str">
        <x:v>Средство для растений/почвы</x:v>
      </x:c>
      <x:c r="E720" s="6" t="str">
        <x:v>Розничный каталог</x:v>
      </x:c>
      <x:c r="F720" s="6" t="str">
        <x:v>G13; G30</x:v>
      </x:c>
      <x:c r="G720" s="6" t="str">
        <x:v>Trihoderma harzianum, штамм 3/78, Chlorella vulgaris Beijer. var. vulgaris, штамм 132-2</x:v>
      </x:c>
      <x:c r="H720" s="6" t="str">
        <x:v>Есть сведения; см. ограничения</x:v>
      </x:c>
      <x:c r="I720" s="6" t="str">
        <x:v>Порошок, 50 г</x:v>
      </x:c>
      <x:c r="J720" s="12" t="n">
        <x:v>1</x:v>
      </x:c>
      <x:c r="K720" s="6" t="str">
        <x:v>См. коды и ограничения на листе «Сопоставления»</x:v>
      </x:c>
      <x:c r="L720" s="6"/>
      <x:c r="M720" s="13" t="str">
        <x:v>https://www.bashinkom.ru/products/ojz/Trikhodermiks-mini</x:v>
      </x:c>
      <x:c r="N720" s="13"/>
    </x:row>
    <x:row r="721" ht="68" customHeight="1">
      <x:c r="A721" s="9" t="str">
        <x:v>P0716</x:v>
      </x:c>
      <x:c r="B721" s="9" t="str">
        <x:v>БашИнком</x:v>
      </x:c>
      <x:c r="C721" s="9" t="str">
        <x:v>Триходермикс</x:v>
      </x:c>
      <x:c r="D721" s="9" t="str">
        <x:v>Средство для растений/почвы</x:v>
      </x:c>
      <x:c r="E721" s="9" t="str">
        <x:v>Профессиональная линия</x:v>
      </x:c>
      <x:c r="F721" s="9" t="str">
        <x:v>G13; G30</x:v>
      </x:c>
      <x:c r="G721" s="9" t="str">
        <x:v>Гриб Trichoderma harzianum, штамм 3/78, титр не менее 1х109 КОЕ/г, зеленые водоросли Chlorella vulgaris Beijer. var. vulgaris, штамм 132-2, титр не менее 1х107 кл/г.</x:v>
      </x:c>
      <x:c r="H721" s="9" t="str">
        <x:v>Есть сведения; см. ограничения</x:v>
      </x:c>
      <x:c r="I721" s="9" t="str">
        <x:v>Порошок от светло-серого до серо-зеленого цвета.</x:v>
      </x:c>
      <x:c r="J721" s="10" t="n">
        <x:v>1</x:v>
      </x:c>
      <x:c r="K721" s="9" t="str">
        <x:v>См. коды и ограничения на листе «Сопоставления»</x:v>
      </x:c>
      <x:c r="L721" s="9"/>
      <x:c r="M721" s="11" t="str">
        <x:v>https://www.bashinkom.ru/products/avz/Trikhodermiks</x:v>
      </x:c>
      <x:c r="N721" s="11"/>
    </x:row>
    <x:row r="722" ht="82" customHeight="1">
      <x:c r="A722" s="6" t="str">
        <x:v>P0717</x:v>
      </x:c>
      <x:c r="B722" s="6" t="str">
        <x:v>БашИнком</x:v>
      </x:c>
      <x:c r="C722" s="6" t="str">
        <x:v>Триходермикс</x:v>
      </x:c>
      <x:c r="D722" s="6" t="str">
        <x:v>Средство для растений/почвы</x:v>
      </x:c>
      <x:c r="E722" s="6" t="str">
        <x:v>Профессиональная линия</x:v>
      </x:c>
      <x:c r="F722" s="6" t="str">
        <x:v>G13; G30</x:v>
      </x:c>
      <x:c r="G722" s="6" t="str">
        <x:v>Споры и мицелий гриба Trichoderma harzianum, штамм 3/78 с титром не менее 1х10⁹ КОЕ/г, Стабилизированная форма хлорофилла из Chlorella vulgaris, штамм 132-2 – 0,1 % Биологически активные вещества – аминокислоты, пептиды, ферменты, витамины, ауксины.</x:v>
      </x:c>
      <x:c r="H722" s="6" t="str">
        <x:v>Есть сведения; см. ограничения</x:v>
      </x:c>
      <x:c r="I722" s="6" t="str">
        <x:v>порошок</x:v>
      </x:c>
      <x:c r="J722" s="12" t="n">
        <x:v>1</x:v>
      </x:c>
      <x:c r="K722" s="6" t="str">
        <x:v>См. коды и ограничения на листе «Сопоставления»</x:v>
      </x:c>
      <x:c r="L722" s="6"/>
      <x:c r="M722" s="13" t="str">
        <x:v>https://www.bashinkom.ru/products/prodecor/Trikhodermiks-prodecor</x:v>
      </x:c>
      <x:c r="N722" s="13"/>
    </x:row>
    <x:row r="723" ht="68" customHeight="1">
      <x:c r="A723" s="9" t="str">
        <x:v>P0718</x:v>
      </x:c>
      <x:c r="B723" s="9" t="str">
        <x:v>БашИнком</x:v>
      </x:c>
      <x:c r="C723" s="9" t="str">
        <x:v>ТуринБаш, Ж</x:v>
      </x:c>
      <x:c r="D723" s="9" t="str">
        <x:v>Средство для растений/почвы</x:v>
      </x:c>
      <x:c r="E723" s="9" t="str">
        <x:v>Розничный каталог</x:v>
      </x:c>
      <x:c r="F723" s="9" t="str">
        <x:v>G15</x:v>
      </x:c>
      <x:c r="G723" s="9" t="str">
        <x:v>Состав: Bacillus thuringiensis subsp. aizawai, штамм 12К, титр не менее 1 млрд. КОЕ/мл + Bacillus thuringiensis subsp. thuringiensis, штамм ВНИИВЭА-177, титр не менее 1 мдрд. КОЕ/мл</x:v>
      </x:c>
      <x:c r="H723" s="9" t="str">
        <x:v>Есть сведения; см. ограничения</x:v>
      </x:c>
      <x:c r="I723" s="9" t="str">
        <x:v>Жидкость, 500 мл, 200 мл</x:v>
      </x:c>
      <x:c r="J723" s="10" t="n">
        <x:v>1</x:v>
      </x:c>
      <x:c r="K723" s="9" t="str">
        <x:v>См. коды и ограничения на листе «Сопоставления»</x:v>
      </x:c>
      <x:c r="L723" s="9"/>
      <x:c r="M723" s="11" t="str">
        <x:v>https://www.bashinkom.ru/products/ojz/TurinBashZH200ml500ml</x:v>
      </x:c>
      <x:c r="N723" s="11"/>
    </x:row>
    <x:row r="724" ht="82" customHeight="1">
      <x:c r="A724" s="6" t="str">
        <x:v>P0719</x:v>
      </x:c>
      <x:c r="B724" s="6" t="str">
        <x:v>БашИнком</x:v>
      </x:c>
      <x:c r="C724" s="6" t="str">
        <x:v>ТуринБаш-Ж</x:v>
      </x:c>
      <x:c r="D724" s="6" t="str">
        <x:v>Средство для растений/почвы</x:v>
      </x:c>
      <x:c r="E724" s="6" t="str">
        <x:v>Профессиональная линия</x:v>
      </x:c>
      <x:c r="F724" s="6" t="str">
        <x:v>G15</x:v>
      </x:c>
      <x:c r="G724" s="6" t="str">
        <x:v>Титр не менее 1×10^9 КОЕ/мл Bacillus thuringiensis subsp. aizawai , штамм 12К; + споры и природные токсины Bacillus thuringiensis штамм 12K, титр не менее 1×10^9 КОЕ/мл Bacillus thuringiensis subsp. thuringiensis , штамм ВНИИВЭА-177</x:v>
      </x:c>
      <x:c r="H724" s="6" t="str">
        <x:v>Есть сведения; см. ограничения</x:v>
      </x:c>
      <x:c r="I724" s="6" t="str">
        <x:v>Жидкость</x:v>
      </x:c>
      <x:c r="J724" s="12" t="n">
        <x:v>1</x:v>
      </x:c>
      <x:c r="K724" s="6" t="str">
        <x:v>См. коды и ограничения на листе «Сопоставления»</x:v>
      </x:c>
      <x:c r="L724" s="6"/>
      <x:c r="M724" s="13" t="str">
        <x:v>https://www.bashinkom.ru/products/avz/TurinBashG</x:v>
      </x:c>
      <x:c r="N724" s="13"/>
    </x:row>
    <x:row r="725" ht="110" customHeight="1">
      <x:c r="A725" s="9" t="str">
        <x:v>P0720</x:v>
      </x:c>
      <x:c r="B725" s="9" t="str">
        <x:v>БашИнком</x:v>
      </x:c>
      <x:c r="C725" s="9" t="str">
        <x:v>Фиалка–Герань Земля–Матушка для фиалки, герани, глоксинии, фуксии, гиацинта</x:v>
      </x:c>
      <x:c r="D725" s="9" t="str">
        <x:v>Средство для растений/почвы</x:v>
      </x:c>
      <x:c r="E725" s="9" t="str">
        <x:v>Розничный каталог</x:v>
      </x:c>
      <x:c r="F725" s="9" t="str">
        <x:v>G37</x:v>
      </x:c>
      <x:c r="G725" s="9" t="str">
        <x:v>Почвогунт. Полный набор питательных веществ, природный мако- и микроэлементов, торф, ферментированное органическое удобрение Бионекс, эликсир плодородия Гуми, полезная дружественная микрофлора, природные керамические микропористые разрыхлители. Содержит: азот не менее – 30 мг/кг, фосфор не менее – 10 мг/кг, калий не менее – 40 мг/кг; ферментированное органическое вещество – 30%.</x:v>
      </x:c>
      <x:c r="H725" s="9" t="str">
        <x:v>Есть сведения; см. ограничения</x:v>
      </x:c>
      <x:c r="I725" s="9" t="str">
        <x:v>Почвогрунт</x:v>
      </x:c>
      <x:c r="J725" s="10" t="n">
        <x:v>1</x:v>
      </x:c>
      <x:c r="K725" s="9" t="str">
        <x:v>См. коды и ограничения на листе «Сопоставления»</x:v>
      </x:c>
      <x:c r="L725" s="9"/>
      <x:c r="M725" s="11" t="str">
        <x:v>https://www.bashinkom.ru/products/ojz/FialkaGeranZemlyaMatushkadlyafialkigeranigloksiniifuksiigiatsinta3l</x:v>
      </x:c>
      <x:c r="N725" s="11"/>
    </x:row>
    <x:row r="726" ht="110" customHeight="1">
      <x:c r="A726" s="6" t="str">
        <x:v>P0721</x:v>
      </x:c>
      <x:c r="B726" s="6" t="str">
        <x:v>БашИнком</x:v>
      </x:c>
      <x:c r="C726" s="6" t="str">
        <x:v>Фикус-Пальма Земля–Матушка для фикусов, драцены, аралии, хавеи</x:v>
      </x:c>
      <x:c r="D726" s="6" t="str">
        <x:v>Средство для растений/почвы</x:v>
      </x:c>
      <x:c r="E726" s="6" t="str">
        <x:v>Розничный каталог</x:v>
      </x:c>
      <x:c r="F726" s="6" t="str">
        <x:v>G37</x:v>
      </x:c>
      <x:c r="G726" s="6" t="str">
        <x:v>Почвогунт. Полный набор питательных веществ, природный мако- и микроэлементов, торф, ферментированное органическое удобрение Бионекс, эликсир плодородия Гуми, полезная дружественная микрофлора, природные керамические микропористые разрыхлители. Содержит: азот не менее – 50 мг/кг, фосфор не менее – 15 мг/кг, калий не менее – 55 мг/кг; ферментированное органическое вещество – 30%.</x:v>
      </x:c>
      <x:c r="H726" s="6" t="str">
        <x:v>Есть сведения; см. ограничения</x:v>
      </x:c>
      <x:c r="I726" s="6" t="str">
        <x:v>Почвогрунт</x:v>
      </x:c>
      <x:c r="J726" s="12" t="n">
        <x:v>1</x:v>
      </x:c>
      <x:c r="K726" s="6" t="str">
        <x:v>См. коды и ограничения на листе «Сопоставления»</x:v>
      </x:c>
      <x:c r="L726" s="6"/>
      <x:c r="M726" s="13" t="str">
        <x:v>https://www.bashinkom.ru/products/ojz/FikusPalmaZemlyaMatushkadlyafikusovdratsenyaraliikhavei3l</x:v>
      </x:c>
      <x:c r="N726" s="13"/>
    </x:row>
    <x:row r="727" ht="68" customHeight="1">
      <x:c r="A727" s="9" t="str">
        <x:v>P0722</x:v>
      </x:c>
      <x:c r="B727" s="9" t="str">
        <x:v>БашИнком</x:v>
      </x:c>
      <x:c r="C727" s="9" t="str">
        <x:v>Фистопорин–М Томаты быстрорастворимый</x:v>
      </x:c>
      <x:c r="D727" s="9" t="str">
        <x:v>Средство для растений/почвы</x:v>
      </x:c>
      <x:c r="E727" s="9" t="str">
        <x:v>Розничный каталог</x:v>
      </x:c>
      <x:c r="F727" s="9" t="str">
        <x:v>G30</x:v>
      </x:c>
      <x:c r="G727" s="9" t="str">
        <x:v>Бактериальная споровая культура Bacillus subtilis 26Д, титр живых спор и клеток не менее 100 млн/г., гуматы Гуми.</x:v>
      </x:c>
      <x:c r="H727" s="9" t="str">
        <x:v>Есть сведения; см. ограничения</x:v>
      </x:c>
      <x:c r="I727" s="9" t="str">
        <x:v>Паста</x:v>
      </x:c>
      <x:c r="J727" s="10" t="n">
        <x:v>1</x:v>
      </x:c>
      <x:c r="K727" s="9" t="str">
        <x:v>См. коды и ограничения на листе «Сопоставления»</x:v>
      </x:c>
      <x:c r="L727" s="9"/>
      <x:c r="M727" s="11" t="str">
        <x:v>https://www.bashinkom.ru/products/ojz/FistoporinMTomatybystrorastvorimyy100g</x:v>
      </x:c>
      <x:c r="N727" s="11"/>
    </x:row>
    <x:row r="728" ht="68" customHeight="1">
      <x:c r="A728" s="6" t="str">
        <x:v>P0723</x:v>
      </x:c>
      <x:c r="B728" s="6" t="str">
        <x:v>БашИнком</x:v>
      </x:c>
      <x:c r="C728" s="6" t="str">
        <x:v>ФитоКислинка</x:v>
      </x:c>
      <x:c r="D728" s="6" t="str">
        <x:v>Средство для растений/почвы</x:v>
      </x:c>
      <x:c r="E728" s="6" t="str">
        <x:v>Розничный каталог</x:v>
      </x:c>
      <x:c r="F728" s="6" t="str">
        <x:v>G23</x:v>
      </x:c>
      <x:c r="G728" s="6" t="str">
        <x:v>Азот, фосфор, калий (1:3:1), рН 1,5-2,0.</x:v>
      </x:c>
      <x:c r="H728" s="6" t="str">
        <x:v>Есть сведения; см. ограничения</x:v>
      </x:c>
      <x:c r="I728" s="6" t="str">
        <x:v>Жидкость</x:v>
      </x:c>
      <x:c r="J728" s="12" t="n">
        <x:v>1</x:v>
      </x:c>
      <x:c r="K728" s="6" t="str">
        <x:v>См. коды и ограничения на листе «Сопоставления»</x:v>
      </x:c>
      <x:c r="L728" s="6"/>
      <x:c r="M728" s="13" t="str">
        <x:v>https://www.bashinkom.ru/products/ojz/FitoKislinka02l</x:v>
      </x:c>
      <x:c r="N728" s="13"/>
    </x:row>
    <x:row r="729" ht="68" customHeight="1">
      <x:c r="A729" s="9" t="str">
        <x:v>P0724</x:v>
      </x:c>
      <x:c r="B729" s="9" t="str">
        <x:v>БашИнком</x:v>
      </x:c>
      <x:c r="C729" s="9" t="str">
        <x:v>Фитосейулюс персимилис (Phytoseiulus рersimilis)</x:v>
      </x:c>
      <x:c r="D729" s="9" t="str">
        <x:v>Средство для растений/почвы</x:v>
      </x:c>
      <x:c r="E729" s="9" t="str">
        <x:v>Розничный каталог</x:v>
      </x:c>
      <x:c r="F729" s="9" t="str">
        <x:v>—</x:v>
      </x:c>
      <x:c r="G729" s="9" t="str">
        <x:v>субстрат, в котором находятся взрослые особи, нимфы 1-го и 2-го возраста хищного клеща.</x:v>
      </x:c>
      <x:c r="H729" s="9" t="str">
        <x:v>Есть сведения; см. ограничения</x:v>
      </x:c>
      <x:c r="I729" s="9" t="str">
        <x:v>субстрат</x:v>
      </x:c>
      <x:c r="J729" s="10" t="n">
        <x:v>1</x:v>
      </x:c>
      <x:c r="K729" s="9" t="str">
        <x:v>Близкий аналог не подтвержден</x:v>
      </x:c>
      <x:c r="L729" s="9"/>
      <x:c r="M729" s="11" t="str">
        <x:v>https://www.bashinkom.ru/products/ojz/FitoseyulyuspersimilisPhytoseiulusrersimilis-</x:v>
      </x:c>
      <x:c r="N729" s="11"/>
    </x:row>
    <x:row r="730" ht="68" customHeight="1">
      <x:c r="A730" s="6" t="str">
        <x:v>P0725</x:v>
      </x:c>
      <x:c r="B730" s="6" t="str">
        <x:v>БашИнком</x:v>
      </x:c>
      <x:c r="C730" s="6" t="str">
        <x:v>Фитосейулюс персимилис (Phytoseiulus рersimilis)</x:v>
      </x:c>
      <x:c r="D730" s="6" t="str">
        <x:v>Средство для растений/почвы</x:v>
      </x:c>
      <x:c r="E730" s="6" t="str">
        <x:v>Профессиональная линия</x:v>
      </x:c>
      <x:c r="F730" s="6" t="str">
        <x:v>—</x:v>
      </x:c>
      <x:c r="G730" s="6" t="str">
        <x:v>субстрат, в котором находятся взрослые особи, нимфы 1-го и 2-го возраста хищного клеща.</x:v>
      </x:c>
      <x:c r="H730" s="6" t="str">
        <x:v>Есть сведения; см. ограничения</x:v>
      </x:c>
      <x:c r="I730" s="6" t="str">
        <x:v>субстрат</x:v>
      </x:c>
      <x:c r="J730" s="12" t="n">
        <x:v>1</x:v>
      </x:c>
      <x:c r="K730" s="6" t="str">
        <x:v>Близкий аналог не подтвержден</x:v>
      </x:c>
      <x:c r="L730" s="6"/>
      <x:c r="M730" s="13" t="str">
        <x:v>https://www.bashinkom.ru/products/avz/FitoseyulyuspersimilisPhytoseiulusrersimilis</x:v>
      </x:c>
      <x:c r="N730" s="13"/>
    </x:row>
    <x:row r="731" ht="68" customHeight="1">
      <x:c r="A731" s="9" t="str">
        <x:v>P0726</x:v>
      </x:c>
      <x:c r="B731" s="9" t="str">
        <x:v>БашИнком</x:v>
      </x:c>
      <x:c r="C731" s="9" t="str">
        <x:v>Фитоспорин ПроБио</x:v>
      </x:c>
      <x:c r="D731" s="9" t="str">
        <x:v>Средство для растений/почвы</x:v>
      </x:c>
      <x:c r="E731" s="9" t="str">
        <x:v>Розничный каталог</x:v>
      </x:c>
      <x:c r="F731" s="9" t="str">
        <x:v>G30</x:v>
      </x:c>
      <x:c r="G731" s="9" t="str">
        <x:v>Живые клетки и споры Bacillus subtilis штамм 3Н, титр не менее 1х10 8 /мл, витамины, органические кислоты, аминокислоты, макро- и микроэлементы, ферменты, антимикробные вещества, ауксины натурального происхождения.</x:v>
      </x:c>
      <x:c r="H731" s="9" t="str">
        <x:v>Есть сведения; см. ограничения</x:v>
      </x:c>
      <x:c r="I731" s="9" t="str">
        <x:v>Жидкость.</x:v>
      </x:c>
      <x:c r="J731" s="10" t="n">
        <x:v>1</x:v>
      </x:c>
      <x:c r="K731" s="9" t="str">
        <x:v>См. коды и ограничения на листе «Сопоставления»</x:v>
      </x:c>
      <x:c r="L731" s="9"/>
      <x:c r="M731" s="11" t="str">
        <x:v>https://www.bashinkom.ru/products/ojz/FitosporinProBio05l</x:v>
      </x:c>
      <x:c r="N731" s="11"/>
    </x:row>
    <x:row r="732" ht="138" customHeight="1">
      <x:c r="A732" s="6" t="str">
        <x:v>P0727</x:v>
      </x:c>
      <x:c r="B732" s="6" t="str">
        <x:v>БашИнком</x:v>
      </x:c>
      <x:c r="C732" s="6" t="str">
        <x:v>Фитоспорин ПроБио</x:v>
      </x:c>
      <x:c r="D732" s="6" t="str">
        <x:v>Средство для растений/почвы</x:v>
      </x:c>
      <x:c r="E732" s="6" t="str">
        <x:v>Розничный каталог</x:v>
      </x:c>
      <x:c r="F732" s="6" t="str">
        <x:v>G30</x:v>
      </x:c>
      <x:c r="G732" s="6" t="str">
        <x:v>Фитоспорин ПроБио - агропробиотик, совершенно новый класс природных микробиологических препаратов. Препарат выполняет несколько функций: защищает растение, повышает урожайность и помогает оздоровлению организма. Применение Фитоспорина ПроБио позволяет получить экологически чистую пробиотическую продукцию, при употреблении которой улучшается работа пищеварительной системы и повышается иммунитет. Состав: содержит живые клетки и… (сокращено)</x:v>
      </x:c>
      <x:c r="H732" s="6" t="str">
        <x:v>Есть сведения; см. ограничения</x:v>
      </x:c>
      <x:c r="I732" s="6" t="str">
        <x:v>Жидкость</x:v>
      </x:c>
      <x:c r="J732" s="12" t="n">
        <x:v>1</x:v>
      </x:c>
      <x:c r="K732" s="6" t="str">
        <x:v>См. коды и ограничения на листе «Сопоставления»</x:v>
      </x:c>
      <x:c r="L732" s="6"/>
      <x:c r="M732" s="13" t="str">
        <x:v>https://www.bashinkom.ru/products/ojz/FitosporinProBio01l</x:v>
      </x:c>
      <x:c r="N732" s="13"/>
    </x:row>
    <x:row r="733" ht="82" customHeight="1">
      <x:c r="A733" s="9" t="str">
        <x:v>P0728</x:v>
      </x:c>
      <x:c r="B733" s="9" t="str">
        <x:v>БашИнком</x:v>
      </x:c>
      <x:c r="C733" s="9" t="str">
        <x:v>Фитоспорин- М,Ж</x:v>
      </x:c>
      <x:c r="D733" s="9" t="str">
        <x:v>Средство для растений/почвы</x:v>
      </x:c>
      <x:c r="E733" s="9" t="str">
        <x:v>Профессиональная линия</x:v>
      </x:c>
      <x:c r="F733" s="9" t="str">
        <x:v>G30</x:v>
      </x:c>
      <x:c r="G733" s="9" t="str">
        <x:v>Живые симбиотические бактериальные культуры Bacillus subtilis 26D, 1К (1×10 9 живых клеток и спор на 1 мл) биоактивированные по молекулярному весу калиевые соли гуминовых кислот; 20 L-аминокислот натурального происхождения -2%; Природные полисахариды, фитогормоны, витамины.</x:v>
      </x:c>
      <x:c r="H733" s="9" t="str">
        <x:v>Есть сведения; см. ограничения</x:v>
      </x:c>
      <x:c r="I733" s="9" t="str">
        <x:v>Жидкость</x:v>
      </x:c>
      <x:c r="J733" s="10" t="n">
        <x:v>1</x:v>
      </x:c>
      <x:c r="K733" s="9" t="str">
        <x:v>См. коды и ограничения на листе «Сопоставления»</x:v>
      </x:c>
      <x:c r="L733" s="9"/>
      <x:c r="M733" s="11" t="str">
        <x:v>https://www.bashinkom.ru/products/avz/FitosporinMZH</x:v>
      </x:c>
      <x:c r="N733" s="11"/>
    </x:row>
    <x:row r="734" ht="68" customHeight="1">
      <x:c r="A734" s="6" t="str">
        <x:v>P0729</x:v>
      </x:c>
      <x:c r="B734" s="6" t="str">
        <x:v>БашИнком</x:v>
      </x:c>
      <x:c r="C734" s="6" t="str">
        <x:v>Фитоспорин–M Огурцы</x:v>
      </x:c>
      <x:c r="D734" s="6" t="str">
        <x:v>Средство для растений/почвы</x:v>
      </x:c>
      <x:c r="E734" s="6" t="str">
        <x:v>Розничный каталог</x:v>
      </x:c>
      <x:c r="F734" s="6" t="str">
        <x:v>G30</x:v>
      </x:c>
      <x:c r="G734" s="6" t="str">
        <x:v>Бактериальная споровая культура Bacillus subtilis 26Д, титр живых спор и клеток не менее 2 млрд/г</x:v>
      </x:c>
      <x:c r="H734" s="6" t="str">
        <x:v>Есть сведения; см. ограничения</x:v>
      </x:c>
      <x:c r="I734" s="6" t="str">
        <x:v>Порошок</x:v>
      </x:c>
      <x:c r="J734" s="12" t="n">
        <x:v>1</x:v>
      </x:c>
      <x:c r="K734" s="6" t="str">
        <x:v>См. коды и ограничения на листе «Сопоставления»</x:v>
      </x:c>
      <x:c r="L734" s="6"/>
      <x:c r="M734" s="13" t="str">
        <x:v>https://www.bashinkom.ru/products/ojz/FitosporinMOGURTSY10g</x:v>
      </x:c>
      <x:c r="N734" s="13"/>
    </x:row>
    <x:row r="735" ht="124" customHeight="1">
      <x:c r="A735" s="9" t="str">
        <x:v>P0730</x:v>
      </x:c>
      <x:c r="B735" s="9" t="str">
        <x:v>БашИнком</x:v>
      </x:c>
      <x:c r="C735" s="9" t="str">
        <x:v>Фитоспорин-АС</x:v>
      </x:c>
      <x:c r="D735" s="9" t="str">
        <x:v>Средство для растений/почвы</x:v>
      </x:c>
      <x:c r="E735" s="9" t="str">
        <x:v>Розничный каталог</x:v>
      </x:c>
      <x:c r="F735" s="9" t="str">
        <x:v>G30</x:v>
      </x:c>
      <x:c r="G735" s="9" t="str">
        <x:v>Живые симбиотические бактериальные культуры Bacillus subtilis, штамм 26D (1×10 9 живых клеток и спор на 1 мл); живые симбиотические бактериальные культуры Bacillus subtilis 1К, 3К, 3Н, 8К, 7К, 3/18 (1×10^6 клеток на 1 мл); 3 вида гриба-антагониста Trichoderma c общим титром не менее 1х10^6 клеток на 1 мл; лизаты ризосферных бактерий; 20 L-аминокислот натурального происхождения – 5 %; природные полисахариды, фитогормоны,… (сокращено)</x:v>
      </x:c>
      <x:c r="H735" s="9" t="str">
        <x:v>Есть сведения; см. ограничения</x:v>
      </x:c>
      <x:c r="I735" s="9" t="str">
        <x:v>Жидкость</x:v>
      </x:c>
      <x:c r="J735" s="10" t="n">
        <x:v>1</x:v>
      </x:c>
      <x:c r="K735" s="9" t="str">
        <x:v>См. коды и ограничения на листе «Сопоставления»</x:v>
      </x:c>
      <x:c r="L735" s="9"/>
      <x:c r="M735" s="11" t="str">
        <x:v>https://www.bashinkom.ru/products/ojz/FitosporinAS05l</x:v>
      </x:c>
      <x:c r="N735" s="11"/>
    </x:row>
    <x:row r="736" ht="124" customHeight="1">
      <x:c r="A736" s="6" t="str">
        <x:v>P0731</x:v>
      </x:c>
      <x:c r="B736" s="6" t="str">
        <x:v>БашИнком</x:v>
      </x:c>
      <x:c r="C736" s="6" t="str">
        <x:v>Фитоспорин–АС, Ж</x:v>
      </x:c>
      <x:c r="D736" s="6" t="str">
        <x:v>Средство для растений/почвы</x:v>
      </x:c>
      <x:c r="E736" s="6" t="str">
        <x:v>Профессиональная линия</x:v>
      </x:c>
      <x:c r="F736" s="6" t="str">
        <x:v>G30</x:v>
      </x:c>
      <x:c r="G736" s="6" t="str">
        <x:v>Живые симбиотические бактериальные культуры Bacillus subtilis штамм 26D (1×10 9 живых клеток и спор на 1 мл); Живые симбиотические бактериальные культуры Bacillus subtilis 1К, 3К, 3Н, 8К, 7К, 3/18 (1×10^6 клеток на 1 мл;) Три вида гриба-антагониста Trichoderma c общим титром не менее 1х10^6 клеток на 1 мл; Лизаты ризосферных бактерий; 20 L-аминокислот натурального происхождения – 5%; Природные полисахариды, фитогормоны,… (сокращено)</x:v>
      </x:c>
      <x:c r="H736" s="6" t="str">
        <x:v>Есть сведения; см. ограничения</x:v>
      </x:c>
      <x:c r="I736" s="6" t="str">
        <x:v>Жидкость</x:v>
      </x:c>
      <x:c r="J736" s="12" t="n">
        <x:v>1</x:v>
      </x:c>
      <x:c r="K736" s="6" t="str">
        <x:v>См. коды и ограничения на листе «Сопоставления»</x:v>
      </x:c>
      <x:c r="L736" s="6"/>
      <x:c r="M736" s="13" t="str">
        <x:v>https://www.bashinkom.ru/products/avz/FitosporinMZHASaminokisloty</x:v>
      </x:c>
      <x:c r="N736" s="13"/>
    </x:row>
    <x:row r="737" ht="138" customHeight="1">
      <x:c r="A737" s="9" t="str">
        <x:v>P0732</x:v>
      </x:c>
      <x:c r="B737" s="9" t="str">
        <x:v>БашИнком</x:v>
      </x:c>
      <x:c r="C737" s="9" t="str">
        <x:v>Фитоспорин-М (АС) Декор</x:v>
      </x:c>
      <x:c r="D737" s="9" t="str">
        <x:v>Средство для растений/почвы</x:v>
      </x:c>
      <x:c r="E737" s="9" t="str">
        <x:v>Профессиональная линия</x:v>
      </x:c>
      <x:c r="F737" s="9" t="str">
        <x:v>G30</x:v>
      </x:c>
      <x:c r="G737" s="9" t="str">
        <x:v>Ассоциация 10 штаммов бактерий Bacillus subtilis и грибов Trichoderma: Bacillus subtilis , штамм 26 Д, титр не менее 10⁸ КОЕ/мл, штамм 1К - титр не менее 10⁵ КОЕ/мл, штамм 3К - титр не менее 10⁵ КОЕ/мл, штамм 3Н - титр не менее 10⁵ КОЕ/мл, штамм 8К - титр не менее 10⁵ КОЕ/мл, штамм 7К - титр не менее 10⁵ КОЕ/мл, штамм 3/28 - титр не менее 10⁶ КОЕ/мл,·Trichoderma resei штамм 4К- титр не менее 10⁵ КОЕ/мл, Trichoderma atroviride… (сокращено)</x:v>
      </x:c>
      <x:c r="H737" s="9" t="str">
        <x:v>Есть сведения; см. ограничения</x:v>
      </x:c>
      <x:c r="I737" s="9" t="str">
        <x:v>жидкость</x:v>
      </x:c>
      <x:c r="J737" s="10" t="n">
        <x:v>1</x:v>
      </x:c>
      <x:c r="K737" s="9" t="str">
        <x:v>См. коды и ограничения на листе «Сопоставления»</x:v>
      </x:c>
      <x:c r="L737" s="9"/>
      <x:c r="M737" s="11" t="str">
        <x:v>https://www.bashinkom.ru/products/prodecor/FitosporinMAS</x:v>
      </x:c>
      <x:c r="N737" s="11"/>
    </x:row>
    <x:row r="738" ht="68" customHeight="1">
      <x:c r="A738" s="6" t="str">
        <x:v>P0733</x:v>
      </x:c>
      <x:c r="B738" s="6" t="str">
        <x:v>БашИнком</x:v>
      </x:c>
      <x:c r="C738" s="6" t="str">
        <x:v>Фитоспорин–М Золотая Осень</x:v>
      </x:c>
      <x:c r="D738" s="6" t="str">
        <x:v>Средство для растений/почвы</x:v>
      </x:c>
      <x:c r="E738" s="6" t="str">
        <x:v>Розничный каталог</x:v>
      </x:c>
      <x:c r="F738" s="6" t="str">
        <x:v>G30</x:v>
      </x:c>
      <x:c r="G738" s="6" t="str">
        <x:v>Бактериальная споровая культура Bacillus subtilis 26Д, титр живых спор и клеток не менее 1 млрд/мл.</x:v>
      </x:c>
      <x:c r="H738" s="6" t="str">
        <x:v>Есть сведения; см. ограничения</x:v>
      </x:c>
      <x:c r="I738" s="6" t="str">
        <x:v>Жидкость</x:v>
      </x:c>
      <x:c r="J738" s="12" t="n">
        <x:v>1</x:v>
      </x:c>
      <x:c r="K738" s="6" t="str">
        <x:v>См. коды и ограничения на листе «Сопоставления»</x:v>
      </x:c>
      <x:c r="L738" s="6"/>
      <x:c r="M738" s="13" t="str">
        <x:v>https://www.bashinkom.ru/products/ojz/FitosporinMZOLOTAYAOSEN02l</x:v>
      </x:c>
      <x:c r="N738" s="13"/>
    </x:row>
    <x:row r="739" ht="68" customHeight="1">
      <x:c r="A739" s="9" t="str">
        <x:v>P0734</x:v>
      </x:c>
      <x:c r="B739" s="9" t="str">
        <x:v>БашИнком</x:v>
      </x:c>
      <x:c r="C739" s="9" t="str">
        <x:v>Фитоспорин–М Капуста</x:v>
      </x:c>
      <x:c r="D739" s="9" t="str">
        <x:v>Средство для растений/почвы</x:v>
      </x:c>
      <x:c r="E739" s="9" t="str">
        <x:v>Розничный каталог</x:v>
      </x:c>
      <x:c r="F739" s="9" t="str">
        <x:v>G30</x:v>
      </x:c>
      <x:c r="G739" s="9" t="str">
        <x:v>Бактериальная споровая культура Bacillus subtilis 26Д, титр живых спор и клеток не менее 2 млрд/г</x:v>
      </x:c>
      <x:c r="H739" s="9" t="str">
        <x:v>Есть сведения; см. ограничения</x:v>
      </x:c>
      <x:c r="I739" s="9" t="str">
        <x:v>Порошок</x:v>
      </x:c>
      <x:c r="J739" s="10" t="n">
        <x:v>1</x:v>
      </x:c>
      <x:c r="K739" s="9" t="str">
        <x:v>См. коды и ограничения на листе «Сопоставления»</x:v>
      </x:c>
      <x:c r="L739" s="9"/>
      <x:c r="M739" s="11" t="str">
        <x:v>https://www.bashinkom.ru/products/ojz/FitosporinMKAPUSTA10g</x:v>
      </x:c>
      <x:c r="N739" s="11"/>
    </x:row>
    <x:row r="740" ht="68" customHeight="1">
      <x:c r="A740" s="6" t="str">
        <x:v>P0735</x:v>
      </x:c>
      <x:c r="B740" s="6" t="str">
        <x:v>БашИнком</x:v>
      </x:c>
      <x:c r="C740" s="6" t="str">
        <x:v>Фитоспорин–М Картофель</x:v>
      </x:c>
      <x:c r="D740" s="6" t="str">
        <x:v>Средство для растений/почвы</x:v>
      </x:c>
      <x:c r="E740" s="6" t="str">
        <x:v>Розничный каталог</x:v>
      </x:c>
      <x:c r="F740" s="6" t="str">
        <x:v>G30</x:v>
      </x:c>
      <x:c r="G740" s="6" t="str">
        <x:v>Бактериальная споровая культура Bacillus subtilis 26Д, титр живых спор и клеток не менее 2 млрд/г</x:v>
      </x:c>
      <x:c r="H740" s="6" t="str">
        <x:v>Есть сведения; см. ограничения</x:v>
      </x:c>
      <x:c r="I740" s="6" t="str">
        <x:v>Порошок</x:v>
      </x:c>
      <x:c r="J740" s="12" t="n">
        <x:v>1</x:v>
      </x:c>
      <x:c r="K740" s="6" t="str">
        <x:v>См. коды и ограничения на листе «Сопоставления»</x:v>
      </x:c>
      <x:c r="L740" s="6"/>
      <x:c r="M740" s="13" t="str">
        <x:v>https://www.bashinkom.ru/products/ojz/FitosporinMKARTOFEL30g</x:v>
      </x:c>
      <x:c r="N740" s="13"/>
    </x:row>
    <x:row r="741" ht="68" customHeight="1">
      <x:c r="A741" s="9" t="str">
        <x:v>P0736</x:v>
      </x:c>
      <x:c r="B741" s="9" t="str">
        <x:v>БашИнком</x:v>
      </x:c>
      <x:c r="C741" s="9" t="str">
        <x:v>Фитоспорин-М Картофель Быстрорастворимый</x:v>
      </x:c>
      <x:c r="D741" s="9" t="str">
        <x:v>Средство для растений/почвы</x:v>
      </x:c>
      <x:c r="E741" s="9" t="str">
        <x:v>Розничный каталог</x:v>
      </x:c>
      <x:c r="F741" s="9" t="str">
        <x:v>G30</x:v>
      </x:c>
      <x:c r="G741" s="9" t="str">
        <x:v>Бактериальная споровая культура Bacillus subtilis 26Д, титр живых спор и клеток не менее 100 млн/г., гуматы Гуми.</x:v>
      </x:c>
      <x:c r="H741" s="9" t="str">
        <x:v>Есть сведения; см. ограничения</x:v>
      </x:c>
      <x:c r="I741" s="9" t="str">
        <x:v>Паста</x:v>
      </x:c>
      <x:c r="J741" s="10" t="n">
        <x:v>1</x:v>
      </x:c>
      <x:c r="K741" s="9" t="str">
        <x:v>См. коды и ограничения на листе «Сопоставления»</x:v>
      </x:c>
      <x:c r="L741" s="9"/>
      <x:c r="M741" s="11" t="str">
        <x:v>https://www.bashinkom.ru/products/ojz/FitosporinMKARTOFELBYSTRORASTVORIMYY100g</x:v>
      </x:c>
      <x:c r="N741" s="11"/>
    </x:row>
    <x:row r="742" ht="68" customHeight="1">
      <x:c r="A742" s="6" t="str">
        <x:v>P0737</x:v>
      </x:c>
      <x:c r="B742" s="6" t="str">
        <x:v>БашИнком</x:v>
      </x:c>
      <x:c r="C742" s="6" t="str">
        <x:v>Фитоспорин–М Рассада, овощи, ягоды, плодовые</x:v>
      </x:c>
      <x:c r="D742" s="6" t="str">
        <x:v>Средство для растений/почвы</x:v>
      </x:c>
      <x:c r="E742" s="6" t="str">
        <x:v>Розничный каталог</x:v>
      </x:c>
      <x:c r="F742" s="6" t="str">
        <x:v>G30</x:v>
      </x:c>
      <x:c r="G742" s="6" t="str">
        <x:v>Бактериальная споровая культура Bacillus subtilis 26Д, титр живых спор и клеток не менее 1 млрд/мл</x:v>
      </x:c>
      <x:c r="H742" s="6" t="str">
        <x:v>Есть сведения; см. ограничения</x:v>
      </x:c>
      <x:c r="I742" s="6" t="str">
        <x:v>Жидкость</x:v>
      </x:c>
      <x:c r="J742" s="12" t="n">
        <x:v>1</x:v>
      </x:c>
      <x:c r="K742" s="6" t="str">
        <x:v>См. коды и ограничения на листе «Сопоставления»</x:v>
      </x:c>
      <x:c r="L742" s="6"/>
      <x:c r="M742" s="13" t="str">
        <x:v>https://www.bashinkom.ru/products/ojz/FitosporinMRASSADAOVOSHCHIYAGODYPLODOVYE110ml</x:v>
      </x:c>
      <x:c r="N742" s="13"/>
    </x:row>
    <x:row r="743" ht="68" customHeight="1">
      <x:c r="A743" s="9" t="str">
        <x:v>P0738</x:v>
      </x:c>
      <x:c r="B743" s="9" t="str">
        <x:v>БашИнком</x:v>
      </x:c>
      <x:c r="C743" s="9" t="str">
        <x:v>Фитоспорин–М РеаниматоР</x:v>
      </x:c>
      <x:c r="D743" s="9" t="str">
        <x:v>Средство для растений/почвы</x:v>
      </x:c>
      <x:c r="E743" s="9" t="str">
        <x:v>Розничный каталог</x:v>
      </x:c>
      <x:c r="F743" s="9" t="str">
        <x:v>G30</x:v>
      </x:c>
      <x:c r="G743" s="9" t="str">
        <x:v>Бактериальная споровая культура Bacillus subtilis 26Д, титр живых спор и клеток не менее 1 млрд/мл.</x:v>
      </x:c>
      <x:c r="H743" s="9" t="str">
        <x:v>Есть сведения; см. ограничения</x:v>
      </x:c>
      <x:c r="I743" s="9" t="str">
        <x:v>Жидкость</x:v>
      </x:c>
      <x:c r="J743" s="10" t="n">
        <x:v>1</x:v>
      </x:c>
      <x:c r="K743" s="9" t="str">
        <x:v>См. коды и ограничения на листе «Сопоставления»</x:v>
      </x:c>
      <x:c r="L743" s="9"/>
      <x:c r="M743" s="11" t="str">
        <x:v>https://www.bashinkom.ru/products/ojz/FitosporinMReanimatoR02l</x:v>
      </x:c>
      <x:c r="N743" s="11"/>
    </x:row>
    <x:row r="744" ht="68" customHeight="1">
      <x:c r="A744" s="6" t="str">
        <x:v>P0739</x:v>
      </x:c>
      <x:c r="B744" s="6" t="str">
        <x:v>БашИнком</x:v>
      </x:c>
      <x:c r="C744" s="6" t="str">
        <x:v>Фитоспорин–М Садовые Цветы</x:v>
      </x:c>
      <x:c r="D744" s="6" t="str">
        <x:v>Средство для растений/почвы</x:v>
      </x:c>
      <x:c r="E744" s="6" t="str">
        <x:v>Розничный каталог</x:v>
      </x:c>
      <x:c r="F744" s="6" t="str">
        <x:v>G30</x:v>
      </x:c>
      <x:c r="G744" s="6" t="str">
        <x:v>Бактериальная споровая культура Bacillus subtilis 26Д, титр живых спор и клеток не менее 2 млрд/г.=</x:v>
      </x:c>
      <x:c r="H744" s="6" t="str">
        <x:v>Есть сведения; см. ограничения</x:v>
      </x:c>
      <x:c r="I744" s="6" t="str">
        <x:v>Порошок</x:v>
      </x:c>
      <x:c r="J744" s="12" t="n">
        <x:v>1</x:v>
      </x:c>
      <x:c r="K744" s="6" t="str">
        <x:v>См. коды и ограничения на листе «Сопоставления»</x:v>
      </x:c>
      <x:c r="L744" s="6"/>
      <x:c r="M744" s="13" t="str">
        <x:v>https://www.bashinkom.ru/products/ojz/FitosporinMSADOVYETSVETY30g</x:v>
      </x:c>
      <x:c r="N744" s="13"/>
    </x:row>
    <x:row r="745" ht="68" customHeight="1">
      <x:c r="A745" s="9" t="str">
        <x:v>P0740</x:v>
      </x:c>
      <x:c r="B745" s="9" t="str">
        <x:v>БашИнком</x:v>
      </x:c>
      <x:c r="C745" s="9" t="str">
        <x:v>Фитоспорин–М Супер–Универсал Быстрорастворимый</x:v>
      </x:c>
      <x:c r="D745" s="9" t="str">
        <x:v>Средство для растений/почвы</x:v>
      </x:c>
      <x:c r="E745" s="9" t="str">
        <x:v>Розничный каталог</x:v>
      </x:c>
      <x:c r="F745" s="9" t="str">
        <x:v>G30</x:v>
      </x:c>
      <x:c r="G745" s="9" t="str">
        <x:v>Бактериальная споровая культура Bacillus subtilis 26Д, титр живых спор и клеток не менее 100 млн/г., гуматы Гуми.</x:v>
      </x:c>
      <x:c r="H745" s="9" t="str">
        <x:v>Есть сведения; см. ограничения</x:v>
      </x:c>
      <x:c r="I745" s="9" t="str">
        <x:v>Паста</x:v>
      </x:c>
      <x:c r="J745" s="10" t="n">
        <x:v>1</x:v>
      </x:c>
      <x:c r="K745" s="9" t="str">
        <x:v>См. коды и ограничения на листе «Сопоставления»</x:v>
      </x:c>
      <x:c r="L745" s="9"/>
      <x:c r="M745" s="11" t="str">
        <x:v>https://www.bashinkom.ru/products/ojz/FitosporinMSUPERUNIVERSALBYSTRORASTVORIMYY100g</x:v>
      </x:c>
      <x:c r="N745" s="11"/>
    </x:row>
    <x:row r="746" ht="68" customHeight="1">
      <x:c r="A746" s="6" t="str">
        <x:v>P0741</x:v>
      </x:c>
      <x:c r="B746" s="6" t="str">
        <x:v>БашИнком</x:v>
      </x:c>
      <x:c r="C746" s="6" t="str">
        <x:v>Фитоспорин–М Томат</x:v>
      </x:c>
      <x:c r="D746" s="6" t="str">
        <x:v>Средство для растений/почвы</x:v>
      </x:c>
      <x:c r="E746" s="6" t="str">
        <x:v>Розничный каталог</x:v>
      </x:c>
      <x:c r="F746" s="6" t="str">
        <x:v>G30</x:v>
      </x:c>
      <x:c r="G746" s="6" t="str">
        <x:v>Бактериальная споровая культура Bacillus subtilis 26 Д, титр живых спор и клеток не менее 2 млрд/г +Эликсир плодородия Гуми +Zn, Mn, B, Cu.</x:v>
      </x:c>
      <x:c r="H746" s="6" t="str">
        <x:v>Есть сведения; см. ограничения</x:v>
      </x:c>
      <x:c r="I746" s="6" t="str">
        <x:v>Порошок</x:v>
      </x:c>
      <x:c r="J746" s="12" t="n">
        <x:v>1</x:v>
      </x:c>
      <x:c r="K746" s="6" t="str">
        <x:v>См. коды и ограничения на листе «Сопоставления»</x:v>
      </x:c>
      <x:c r="L746" s="6"/>
      <x:c r="M746" s="13" t="str">
        <x:v>https://www.bashinkom.ru/products/ojz/FitosporinMTomat10g</x:v>
      </x:c>
      <x:c r="N746" s="13"/>
    </x:row>
    <x:row r="747" ht="68" customHeight="1">
      <x:c r="A747" s="9" t="str">
        <x:v>P0742</x:v>
      </x:c>
      <x:c r="B747" s="9" t="str">
        <x:v>БашИнком</x:v>
      </x:c>
      <x:c r="C747" s="9" t="str">
        <x:v>Фитоспорин–М Универсальный</x:v>
      </x:c>
      <x:c r="D747" s="9" t="str">
        <x:v>Средство для растений/почвы</x:v>
      </x:c>
      <x:c r="E747" s="9" t="str">
        <x:v>Розничный каталог</x:v>
      </x:c>
      <x:c r="F747" s="9" t="str">
        <x:v>G30</x:v>
      </x:c>
      <x:c r="G747" s="9" t="str">
        <x:v>Бактериальная споровая культура Bacillus subtilis 26Д, титр живых спор и клеток не менее 2 млрд/г</x:v>
      </x:c>
      <x:c r="H747" s="9" t="str">
        <x:v>Есть сведения; см. ограничения</x:v>
      </x:c>
      <x:c r="I747" s="9" t="str">
        <x:v>Порошок</x:v>
      </x:c>
      <x:c r="J747" s="10" t="n">
        <x:v>2</x:v>
      </x:c>
      <x:c r="K747" s="9" t="str">
        <x:v>См. коды и ограничения на листе «Сопоставления»</x:v>
      </x:c>
      <x:c r="L747" s="9"/>
      <x:c r="M747" s="11" t="str">
        <x:v>https://www.bashinkom.ru/products/ojz/FitosporinMUNIVERSALNYY10g</x:v>
      </x:c>
      <x:c r="N747" s="11"/>
    </x:row>
    <x:row r="748" ht="68" customHeight="1">
      <x:c r="A748" s="6" t="str">
        <x:v>P0743</x:v>
      </x:c>
      <x:c r="B748" s="6" t="str">
        <x:v>БашИнком</x:v>
      </x:c>
      <x:c r="C748" s="6" t="str">
        <x:v>Фитоспорин–М УНИВЕРСАЛЬНЫЙ</x:v>
      </x:c>
      <x:c r="D748" s="6" t="str">
        <x:v>Средство для растений/почвы</x:v>
      </x:c>
      <x:c r="E748" s="6" t="str">
        <x:v>Розничный каталог</x:v>
      </x:c>
      <x:c r="F748" s="6" t="str">
        <x:v>G30</x:v>
      </x:c>
      <x:c r="G748" s="6" t="str">
        <x:v>Бактериальная споровая культура Bacillus subtilis 26Д, титр живых спор и клеток не менее 100 млн/г., гуматы Гуми.</x:v>
      </x:c>
      <x:c r="H748" s="6" t="str">
        <x:v>Есть сведения; см. ограничения</x:v>
      </x:c>
      <x:c r="I748" s="6" t="str">
        <x:v>Паста</x:v>
      </x:c>
      <x:c r="J748" s="12" t="n">
        <x:v>1</x:v>
      </x:c>
      <x:c r="K748" s="6" t="str">
        <x:v>См. коды и ограничения на листе «Сопоставления»</x:v>
      </x:c>
      <x:c r="L748" s="6"/>
      <x:c r="M748" s="13" t="str">
        <x:v>https://www.bashinkom.ru/products/ojz/FitosporinMUNIVERSALNYY200g</x:v>
      </x:c>
      <x:c r="N748" s="13"/>
    </x:row>
    <x:row r="749" ht="68" customHeight="1">
      <x:c r="A749" s="9" t="str">
        <x:v>P0744</x:v>
      </x:c>
      <x:c r="B749" s="9" t="str">
        <x:v>БашИнком</x:v>
      </x:c>
      <x:c r="C749" s="9" t="str">
        <x:v>Фитоспорин–М Цветы</x:v>
      </x:c>
      <x:c r="D749" s="9" t="str">
        <x:v>Средство для растений/почвы</x:v>
      </x:c>
      <x:c r="E749" s="9" t="str">
        <x:v>Розничный каталог</x:v>
      </x:c>
      <x:c r="F749" s="9" t="str">
        <x:v>G30</x:v>
      </x:c>
      <x:c r="G749" s="9" t="str">
        <x:v>Бактериальная споровая культура Bacillus subtilis 26Д, титр живых спор и клеток не менее 1 млрд/мл.</x:v>
      </x:c>
      <x:c r="H749" s="9" t="str">
        <x:v>Есть сведения; см. ограничения</x:v>
      </x:c>
      <x:c r="I749" s="9" t="str">
        <x:v>Жидкость</x:v>
      </x:c>
      <x:c r="J749" s="10" t="n">
        <x:v>1</x:v>
      </x:c>
      <x:c r="K749" s="9" t="str">
        <x:v>См. коды и ограничения на листе «Сопоставления»</x:v>
      </x:c>
      <x:c r="L749" s="9"/>
      <x:c r="M749" s="11" t="str">
        <x:v>https://www.bashinkom.ru/products/ojz/FitosporinMTSVETY110ml</x:v>
      </x:c>
      <x:c r="N749" s="11"/>
    </x:row>
    <x:row r="750" ht="68" customHeight="1">
      <x:c r="A750" s="6" t="str">
        <x:v>P0745</x:v>
      </x:c>
      <x:c r="B750" s="6" t="str">
        <x:v>БашИнком</x:v>
      </x:c>
      <x:c r="C750" s="6" t="str">
        <x:v>Фитоспорин-М, ПС, Олимпийский</x:v>
      </x:c>
      <x:c r="D750" s="6" t="str">
        <x:v>Средство для растений/почвы</x:v>
      </x:c>
      <x:c r="E750" s="6" t="str">
        <x:v>Розничный каталог</x:v>
      </x:c>
      <x:c r="F750" s="6" t="str">
        <x:v>G30</x:v>
      </x:c>
      <x:c r="G750" s="6" t="str">
        <x:v>Бактериальная споровая культура Bacillus subtilis 26Д, титр живых спор и клеток не менее 100 млн/г., гуматы Гуми, комплекс элементов питания.</x:v>
      </x:c>
      <x:c r="H750" s="6" t="str">
        <x:v>Есть сведения; см. ограничения</x:v>
      </x:c>
      <x:c r="I750" s="6" t="str">
        <x:v>Гель</x:v>
      </x:c>
      <x:c r="J750" s="12" t="n">
        <x:v>1</x:v>
      </x:c>
      <x:c r="K750" s="6" t="str">
        <x:v>См. коды и ограничения на листе «Сопоставления»</x:v>
      </x:c>
      <x:c r="L750" s="6"/>
      <x:c r="M750" s="13" t="str">
        <x:v>https://www.bashinkom.ru/products/ojz/OlimpiyskiyFitosporinKnanogel90elementovimineralov200g</x:v>
      </x:c>
      <x:c r="N750" s="13"/>
    </x:row>
    <x:row r="751" ht="68" customHeight="1">
      <x:c r="A751" s="9" t="str">
        <x:v>P0746</x:v>
      </x:c>
      <x:c r="B751" s="9" t="str">
        <x:v>БашИнком</x:v>
      </x:c>
      <x:c r="C751" s="9" t="str">
        <x:v>Фитоспорин-М,Ж Фунги-Бактерицид</x:v>
      </x:c>
      <x:c r="D751" s="9" t="str">
        <x:v>Средство для растений/почвы</x:v>
      </x:c>
      <x:c r="E751" s="9" t="str">
        <x:v>Профессиональная линия</x:v>
      </x:c>
      <x:c r="F751" s="9" t="str">
        <x:v>G30</x:v>
      </x:c>
      <x:c r="G751" s="9" t="str">
        <x:v>Живые симбиотические бактериальные культуры Bacillus subtilis 26D, 1К (1×10 9 живых клеток и спор на 1 мл); 20 L-аминокислот натурального происхождения – 2%; Природные полисахариды, фитогормоны, витамины.</x:v>
      </x:c>
      <x:c r="H751" s="9" t="str">
        <x:v>Есть сведения; см. ограничения</x:v>
      </x:c>
      <x:c r="I751" s="9" t="str">
        <x:v>Жидкость</x:v>
      </x:c>
      <x:c r="J751" s="10" t="n">
        <x:v>1</x:v>
      </x:c>
      <x:c r="K751" s="9" t="str">
        <x:v>См. коды и ограничения на листе «Сопоставления»</x:v>
      </x:c>
      <x:c r="L751" s="9"/>
      <x:c r="M751" s="11" t="str">
        <x:v>https://www.bashinkom.ru/products/avz/FitosporinMZHFungiBakteritsid</x:v>
      </x:c>
      <x:c r="N751" s="11"/>
    </x:row>
    <x:row r="752" ht="68" customHeight="1">
      <x:c r="A752" s="6" t="str">
        <x:v>P0747</x:v>
      </x:c>
      <x:c r="B752" s="6" t="str">
        <x:v>БашИнком</x:v>
      </x:c>
      <x:c r="C752" s="6" t="str">
        <x:v>Фитоспорин-М,Ж Хранение</x:v>
      </x:c>
      <x:c r="D752" s="6" t="str">
        <x:v>Средство для растений/почвы</x:v>
      </x:c>
      <x:c r="E752" s="6" t="str">
        <x:v>Профессиональная линия</x:v>
      </x:c>
      <x:c r="F752" s="6" t="str">
        <x:v>G30</x:v>
      </x:c>
      <x:c r="G752" s="6" t="str">
        <x:v>Живые симбиотические бактериальные культуры Bacillus subtilis штамм 26D ;</x:v>
      </x:c>
      <x:c r="H752" s="6" t="str">
        <x:v>Есть сведения; см. ограничения</x:v>
      </x:c>
      <x:c r="I752" s="6" t="str">
        <x:v>Жидкость</x:v>
      </x:c>
      <x:c r="J752" s="12" t="n">
        <x:v>1</x:v>
      </x:c>
      <x:c r="K752" s="6" t="str">
        <x:v>См. коды и ограничения на листе «Сопоставления»</x:v>
      </x:c>
      <x:c r="L752" s="6"/>
      <x:c r="M752" s="13" t="str">
        <x:v>https://www.bashinkom.ru/products/avz/FitosporinMZHKHranenie</x:v>
      </x:c>
      <x:c r="N752" s="13"/>
    </x:row>
    <x:row r="753" ht="124" customHeight="1">
      <x:c r="A753" s="9" t="str">
        <x:v>P0748</x:v>
      </x:c>
      <x:c r="B753" s="9" t="str">
        <x:v>БашИнком</x:v>
      </x:c>
      <x:c r="C753" s="9" t="str">
        <x:v>Фитоспорин-М,Ж ЭКСТРА</x:v>
      </x:c>
      <x:c r="D753" s="9" t="str">
        <x:v>Средство для растений/почвы</x:v>
      </x:c>
      <x:c r="E753" s="9" t="str">
        <x:v>Профессиональная линия</x:v>
      </x:c>
      <x:c r="F753" s="9" t="str">
        <x:v>G30</x:v>
      </x:c>
      <x:c r="G753" s="9" t="str">
        <x:v>Живые симбиотические бактериальные культуры Bacillus subtilis 26D, 1К (1×10 9 живых клеток и спор на 1 мл); биоактивированные по молекулярному весу калиевые соли гуминовых кислот; B S Cu Zn Mn Mo Co Ni Li Cr Se 0,17* 0,4* 0,1* 0,1* 0,5* 0,01* 0,01* 0,01* 0,005* 0,01* 0,001* *гр/л Cu, Zn, Mn, Co, Cr, Ni, Li – в хелатной и амино-хелатной формах; 20 L-аминокислот натурального происхождения - 2%; природные полисахариды,… (сокращено)</x:v>
      </x:c>
      <x:c r="H753" s="9" t="str">
        <x:v>Есть сведения; см. ограничения</x:v>
      </x:c>
      <x:c r="I753" s="9" t="str">
        <x:v>Жидкость</x:v>
      </x:c>
      <x:c r="J753" s="10" t="n">
        <x:v>1</x:v>
      </x:c>
      <x:c r="K753" s="9" t="str">
        <x:v>См. коды и ограничения на листе «Сопоставления»</x:v>
      </x:c>
      <x:c r="L753" s="9"/>
      <x:c r="M753" s="11" t="str">
        <x:v>https://www.bashinkom.ru/products/avz/FitosporinMZHEKSTRA</x:v>
      </x:c>
      <x:c r="N753" s="11"/>
    </x:row>
    <x:row r="754" ht="68" customHeight="1">
      <x:c r="A754" s="6" t="str">
        <x:v>P0749</x:v>
      </x:c>
      <x:c r="B754" s="6" t="str">
        <x:v>БашИнком</x:v>
      </x:c>
      <x:c r="C754" s="6" t="str">
        <x:v>Фитоспорин-МП</x:v>
      </x:c>
      <x:c r="D754" s="6" t="str">
        <x:v>Средство для растений/почвы</x:v>
      </x:c>
      <x:c r="E754" s="6" t="str">
        <x:v>Профессиональная линия</x:v>
      </x:c>
      <x:c r="F754" s="6" t="str">
        <x:v>G30</x:v>
      </x:c>
      <x:c r="G754" s="6" t="str">
        <x:v>Живая симбиотическая бактериальная культура Bacillus subtilis штамм 26D (2×10 9 живых клеток и спор на 1 г); Минеральный порошковый наполнитель.</x:v>
      </x:c>
      <x:c r="H754" s="6" t="str">
        <x:v>Есть сведения; см. ограничения</x:v>
      </x:c>
      <x:c r="I754" s="6" t="str">
        <x:v>Порошок</x:v>
      </x:c>
      <x:c r="J754" s="12" t="n">
        <x:v>1</x:v>
      </x:c>
      <x:c r="K754" s="6" t="str">
        <x:v>См. коды и ограничения на листе «Сопоставления»</x:v>
      </x:c>
      <x:c r="L754" s="6"/>
      <x:c r="M754" s="13" t="str">
        <x:v>https://www.bashinkom.ru/products/avz/FitosporinMP</x:v>
      </x:c>
      <x:c r="N754" s="13"/>
    </x:row>
    <x:row r="755" ht="82" customHeight="1">
      <x:c r="A755" s="9" t="str">
        <x:v>P0750</x:v>
      </x:c>
      <x:c r="B755" s="9" t="str">
        <x:v>БашИнком</x:v>
      </x:c>
      <x:c r="C755" s="9" t="str">
        <x:v>Хозяин плодородия для газона - (гранулированное с Кормилицей Микоризой)</x:v>
      </x:c>
      <x:c r="D755" s="9" t="str">
        <x:v>Средство для растений/почвы</x:v>
      </x:c>
      <x:c r="E755" s="9" t="str">
        <x:v>Розничный каталог</x:v>
      </x:c>
      <x:c r="F755" s="9" t="str">
        <x:v>G12</x:v>
      </x:c>
      <x:c r="G755" s="9" t="str">
        <x:v>Органическое вещество не менее 40%; гуматы калия не менее 25%; макроэлементы: общий азот – 2%, общий фосфор – 2%, общий калий – 2%, необходимые микроэлементы: K, I, Fe, Сu, Mo, Mg, S, Са, B, Zn, Co, Se. Мицелий и споры гриба рода Glomus, колонизированные фрагменты корней</x:v>
      </x:c>
      <x:c r="H755" s="9" t="str">
        <x:v>Есть сведения; см. ограничения</x:v>
      </x:c>
      <x:c r="I755" s="9" t="str">
        <x:v>Гранулы</x:v>
      </x:c>
      <x:c r="J755" s="10" t="n">
        <x:v>1</x:v>
      </x:c>
      <x:c r="K755" s="9" t="str">
        <x:v>См. коды и ограничения на листе «Сопоставления»</x:v>
      </x:c>
      <x:c r="L755" s="9"/>
      <x:c r="M755" s="11" t="str">
        <x:v>https://www.bashinkom.ru/products/ojz/UdobreniegranulirovannoeDlyagazonaKHozyainPlodorodiyasKormilitseyMikorizoy30kg</x:v>
      </x:c>
      <x:c r="N755" s="11"/>
    </x:row>
    <x:row r="756" ht="96" customHeight="1">
      <x:c r="A756" s="6" t="str">
        <x:v>P0751</x:v>
      </x:c>
      <x:c r="B756" s="6" t="str">
        <x:v>БашИнком</x:v>
      </x:c>
      <x:c r="C756" s="6" t="str">
        <x:v>Хозяин Плодородия с Кормилицей Микоризой</x:v>
      </x:c>
      <x:c r="D756" s="6" t="str">
        <x:v>Средство для растений/почвы</x:v>
      </x:c>
      <x:c r="E756" s="6" t="str">
        <x:v>Профессиональная линия</x:v>
      </x:c>
      <x:c r="F756" s="6" t="str">
        <x:v>G12</x:v>
      </x:c>
      <x:c r="G756" s="6" t="str">
        <x:v>БМВ-гуматы - 25% ферментированный помет-40% торф Башкирский с микоризой, содержание спор микоризного гриба рода Glomus 1000 спор/г азотфиксирующие бактерии 6*10^5 КОЕ/г фосформобилизирующие бактерии 6*10^5 КОЕ/г калиймобилизирующие бактерии 6*10^5 КОЕ/г N P 2 O 5 K 2 O S 3 3 3</x:v>
      </x:c>
      <x:c r="H756" s="6" t="str">
        <x:v>Есть сведения; см. ограничения</x:v>
      </x:c>
      <x:c r="I756" s="6" t="str">
        <x:v>Гранулы</x:v>
      </x:c>
      <x:c r="J756" s="12" t="n">
        <x:v>1</x:v>
      </x:c>
      <x:c r="K756" s="6" t="str">
        <x:v>См. коды и ограничения на листе «Сопоставления»</x:v>
      </x:c>
      <x:c r="L756" s="6"/>
      <x:c r="M756" s="13" t="str">
        <x:v>https://www.bashinkom.ru/products/avz/KHozyainPlodorodiyasKormilitseyMikorizoy</x:v>
      </x:c>
      <x:c r="N756" s="13"/>
    </x:row>
    <x:row r="757" ht="68" customHeight="1">
      <x:c r="A757" s="9" t="str">
        <x:v>P0752</x:v>
      </x:c>
      <x:c r="B757" s="9" t="str">
        <x:v>БашИнком</x:v>
      </x:c>
      <x:c r="C757" s="9" t="str">
        <x:v>Хозяин–Батюшка – гумусный органический обогатитель и улучшитель почвы</x:v>
      </x:c>
      <x:c r="D757" s="9" t="str">
        <x:v>Средство для растений/почвы</x:v>
      </x:c>
      <x:c r="E757" s="9" t="str">
        <x:v>Розничный каталог</x:v>
      </x:c>
      <x:c r="F757" s="9" t="str">
        <x:v>G09</x:v>
      </x:c>
      <x:c r="G757" s="9" t="str">
        <x:v>Ферментированный компост на основе куриного помёта (95%), природный эликсир плодородия Гуми-90 (5%), микроэлементы: B, Mn, Ni, Fe, Cu, Mo и другие, дружественная микрофлора.</x:v>
      </x:c>
      <x:c r="H757" s="9" t="str">
        <x:v>Есть сведения; см. ограничения</x:v>
      </x:c>
      <x:c r="I757" s="9" t="str">
        <x:v>порошок</x:v>
      </x:c>
      <x:c r="J757" s="10" t="n">
        <x:v>1</x:v>
      </x:c>
      <x:c r="K757" s="9" t="str">
        <x:v>См. коды и ограничения на листе «Сопоставления»</x:v>
      </x:c>
      <x:c r="L757" s="9"/>
      <x:c r="M757" s="11" t="str">
        <x:v>https://www.bashinkom.ru/products/ojz/KHozyainBatyushkagumusnyyorganicheskiyobogatiteliuluchshitelpochvy1kg</x:v>
      </x:c>
      <x:c r="N757" s="11"/>
    </x:row>
    <x:row r="758" ht="68" customHeight="1">
      <x:c r="A758" s="6" t="str">
        <x:v>P0753</x:v>
      </x:c>
      <x:c r="B758" s="6" t="str">
        <x:v>БашИнком</x:v>
      </x:c>
      <x:c r="C758" s="6" t="str">
        <x:v>"Защита от вредителей"</x:v>
      </x:c>
      <x:c r="D758" s="6" t="str">
        <x:v>Инвентарь, книги, семена, ловушки</x:v>
      </x:c>
      <x:c r="E758" s="6" t="str">
        <x:v>Розничный каталог</x:v>
      </x:c>
      <x:c r="F758" s="6" t="str">
        <x:v>—</x:v>
      </x:c>
      <x:c r="G758" s="6" t="str">
        <x:v>Не сравнивается как препарат</x:v>
      </x:c>
      <x:c r="H758" s="6" t="str">
        <x:v>Есть сведения; см. ограничения</x:v>
      </x:c>
      <x:c r="I758" s="6" t="str">
        <x:v>См. карточку</x:v>
      </x:c>
      <x:c r="J758" s="12" t="n">
        <x:v>1</x:v>
      </x:c>
      <x:c r="K758" s="6" t="str">
        <x:v>Не препарат</x:v>
      </x:c>
      <x:c r="L758" s="6"/>
      <x:c r="M758" s="13" t="str">
        <x:v>https://www.bashinkom.ru/products/ojz/Zashchitaotvrediteley</x:v>
      </x:c>
      <x:c r="N758" s="13"/>
    </x:row>
    <x:row r="759" ht="68" customHeight="1">
      <x:c r="A759" s="9" t="str">
        <x:v>P0754</x:v>
      </x:c>
      <x:c r="B759" s="9" t="str">
        <x:v>БашИнком</x:v>
      </x:c>
      <x:c r="C759" s="9" t="str">
        <x:v>"Овощи в закрытом грунте. Прибыльное возделывание в закрытом грунте без ядохимикатов или с их минимизацией"</x:v>
      </x:c>
      <x:c r="D759" s="9" t="str">
        <x:v>Инвентарь, книги, семена, ловушки</x:v>
      </x:c>
      <x:c r="E759" s="9" t="str">
        <x:v>Розничный каталог</x:v>
      </x:c>
      <x:c r="F759" s="9" t="str">
        <x:v>—</x:v>
      </x:c>
      <x:c r="G759" s="9" t="str">
        <x:v>Не сравнивается как препарат</x:v>
      </x:c>
      <x:c r="H759" s="9" t="str">
        <x:v>Есть сведения; см. ограничения</x:v>
      </x:c>
      <x:c r="I759" s="9" t="str">
        <x:v>См. карточку</x:v>
      </x:c>
      <x:c r="J759" s="10" t="n">
        <x:v>1</x:v>
      </x:c>
      <x:c r="K759" s="9" t="str">
        <x:v>Не препарат</x:v>
      </x:c>
      <x:c r="L759" s="9"/>
      <x:c r="M759" s="11" t="str">
        <x:v>https://www.bashinkom.ru/products/ojz/OvoshchivzakrytomgruntePribylnoevozdelyvanievzakrytomgruntebezyadokhimikatovilisikhminimizatsiey</x:v>
      </x:c>
      <x:c r="N759" s="11"/>
    </x:row>
    <x:row r="760" ht="68" customHeight="1">
      <x:c r="A760" s="6" t="str">
        <x:v>P0755</x:v>
      </x:c>
      <x:c r="B760" s="6" t="str">
        <x:v>БашИнком</x:v>
      </x:c>
      <x:c r="C760" s="6" t="str">
        <x:v>"Правильные сроки посева-посадки овощных культур"</x:v>
      </x:c>
      <x:c r="D760" s="6" t="str">
        <x:v>Инвентарь, книги, семена, ловушки</x:v>
      </x:c>
      <x:c r="E760" s="6" t="str">
        <x:v>Розничный каталог</x:v>
      </x:c>
      <x:c r="F760" s="6" t="str">
        <x:v>—</x:v>
      </x:c>
      <x:c r="G760" s="6" t="str">
        <x:v>Не сравнивается как препарат</x:v>
      </x:c>
      <x:c r="H760" s="6" t="str">
        <x:v>Есть сведения; см. ограничения</x:v>
      </x:c>
      <x:c r="I760" s="6" t="str">
        <x:v>См. карточку</x:v>
      </x:c>
      <x:c r="J760" s="12" t="n">
        <x:v>1</x:v>
      </x:c>
      <x:c r="K760" s="6" t="str">
        <x:v>Не препарат</x:v>
      </x:c>
      <x:c r="L760" s="6"/>
      <x:c r="M760" s="13" t="str">
        <x:v>https://www.bashinkom.ru/products/ojz/Pravilnyesrokiposevaposadkiovoshchnykhkultur</x:v>
      </x:c>
      <x:c r="N760" s="13"/>
    </x:row>
    <x:row r="761" ht="68" customHeight="1">
      <x:c r="A761" s="9" t="str">
        <x:v>P0756</x:v>
      </x:c>
      <x:c r="B761" s="9" t="str">
        <x:v>БашИнком</x:v>
      </x:c>
      <x:c r="C761" s="9" t="str">
        <x:v>"Семена, рассада, саженцы"</x:v>
      </x:c>
      <x:c r="D761" s="9" t="str">
        <x:v>Инвентарь, книги, семена, ловушки</x:v>
      </x:c>
      <x:c r="E761" s="9" t="str">
        <x:v>Розничный каталог</x:v>
      </x:c>
      <x:c r="F761" s="9" t="str">
        <x:v>—</x:v>
      </x:c>
      <x:c r="G761" s="9" t="str">
        <x:v>Не сравнивается как препарат</x:v>
      </x:c>
      <x:c r="H761" s="9" t="str">
        <x:v>Есть сведения; см. ограничения</x:v>
      </x:c>
      <x:c r="I761" s="9" t="str">
        <x:v>См. карточку</x:v>
      </x:c>
      <x:c r="J761" s="10" t="n">
        <x:v>1</x:v>
      </x:c>
      <x:c r="K761" s="9" t="str">
        <x:v>Не препарат</x:v>
      </x:c>
      <x:c r="L761" s="9"/>
      <x:c r="M761" s="11" t="str">
        <x:v>https://www.bashinkom.ru/products/ojz/Semenarassadasazhentsy</x:v>
      </x:c>
      <x:c r="N761" s="11"/>
    </x:row>
    <x:row r="762" ht="68" customHeight="1">
      <x:c r="A762" s="6" t="str">
        <x:v>P0757</x:v>
      </x:c>
      <x:c r="B762" s="6" t="str">
        <x:v>БашИнком</x:v>
      </x:c>
      <x:c r="C762" s="6" t="str">
        <x:v>"Справочник по удобрениям. Для садоводов и огородников"</x:v>
      </x:c>
      <x:c r="D762" s="6" t="str">
        <x:v>Инвентарь, книги, семена, ловушки</x:v>
      </x:c>
      <x:c r="E762" s="6" t="str">
        <x:v>Розничный каталог</x:v>
      </x:c>
      <x:c r="F762" s="6" t="str">
        <x:v>—</x:v>
      </x:c>
      <x:c r="G762" s="6" t="str">
        <x:v>Не сравнивается как препарат</x:v>
      </x:c>
      <x:c r="H762" s="6" t="str">
        <x:v>Есть сведения; см. ограничения</x:v>
      </x:c>
      <x:c r="I762" s="6" t="str">
        <x:v>См. карточку</x:v>
      </x:c>
      <x:c r="J762" s="12" t="n">
        <x:v>1</x:v>
      </x:c>
      <x:c r="K762" s="6" t="str">
        <x:v>Не препарат</x:v>
      </x:c>
      <x:c r="L762" s="6"/>
      <x:c r="M762" s="13" t="str">
        <x:v>https://www.bashinkom.ru/products/ojz/SpravochnikpoudobreniyamDlyasadovodoviogorodnikov</x:v>
      </x:c>
      <x:c r="N762" s="13"/>
    </x:row>
    <x:row r="763" ht="68" customHeight="1">
      <x:c r="A763" s="9" t="str">
        <x:v>P0758</x:v>
      </x:c>
      <x:c r="B763" s="9" t="str">
        <x:v>БашИнком</x:v>
      </x:c>
      <x:c r="C763" s="9" t="str">
        <x:v>"Чудесный газон в непростом климате России и сопредельных территорий"</x:v>
      </x:c>
      <x:c r="D763" s="9" t="str">
        <x:v>Инвентарь, книги, семена, ловушки</x:v>
      </x:c>
      <x:c r="E763" s="9" t="str">
        <x:v>Розничный каталог</x:v>
      </x:c>
      <x:c r="F763" s="9" t="str">
        <x:v>—</x:v>
      </x:c>
      <x:c r="G763" s="9" t="str">
        <x:v>Не сравнивается как препарат</x:v>
      </x:c>
      <x:c r="H763" s="9" t="str">
        <x:v>Есть сведения; см. ограничения</x:v>
      </x:c>
      <x:c r="I763" s="9" t="str">
        <x:v>См. карточку</x:v>
      </x:c>
      <x:c r="J763" s="10" t="n">
        <x:v>1</x:v>
      </x:c>
      <x:c r="K763" s="9" t="str">
        <x:v>Не препарат</x:v>
      </x:c>
      <x:c r="L763" s="9"/>
      <x:c r="M763" s="11" t="str">
        <x:v>https://www.bashinkom.ru/products/ojz/CHudesnyygazonvneprostomklimateRossiiisopredelnykhterritoriy</x:v>
      </x:c>
      <x:c r="N763" s="11"/>
    </x:row>
    <x:row r="764" ht="68" customHeight="1">
      <x:c r="A764" s="6" t="str">
        <x:v>P0759</x:v>
      </x:c>
      <x:c r="B764" s="6" t="str">
        <x:v>БашИнком</x:v>
      </x:c>
      <x:c r="C764" s="6" t="str">
        <x:v>"Экологическая и не только защита от болезней"</x:v>
      </x:c>
      <x:c r="D764" s="6" t="str">
        <x:v>Инвентарь, книги, семена, ловушки</x:v>
      </x:c>
      <x:c r="E764" s="6" t="str">
        <x:v>Розничный каталог</x:v>
      </x:c>
      <x:c r="F764" s="6" t="str">
        <x:v>—</x:v>
      </x:c>
      <x:c r="G764" s="6" t="str">
        <x:v>Не сравнивается как препарат</x:v>
      </x:c>
      <x:c r="H764" s="6" t="str">
        <x:v>Есть сведения; см. ограничения</x:v>
      </x:c>
      <x:c r="I764" s="6" t="str">
        <x:v>См. карточку</x:v>
      </x:c>
      <x:c r="J764" s="12" t="n">
        <x:v>1</x:v>
      </x:c>
      <x:c r="K764" s="6" t="str">
        <x:v>Не препарат</x:v>
      </x:c>
      <x:c r="L764" s="6"/>
      <x:c r="M764" s="13" t="str">
        <x:v>https://www.bashinkom.ru/products/ojz/Ekologicheskayainetolkozashchitaotbolezney</x:v>
      </x:c>
      <x:c r="N764" s="13"/>
    </x:row>
    <x:row r="765" ht="68" customHeight="1">
      <x:c r="A765" s="9" t="str">
        <x:v>P0760</x:v>
      </x:c>
      <x:c r="B765" s="9" t="str">
        <x:v>БашИнком</x:v>
      </x:c>
      <x:c r="C765" s="9" t="str">
        <x:v>Але, Гараж. Паста для очистки рук</x:v>
      </x:c>
      <x:c r="D765" s="9" t="str">
        <x:v>Хозяйственное средство</x:v>
      </x:c>
      <x:c r="E765" s="9" t="str">
        <x:v>Розничный каталог</x:v>
      </x:c>
      <x:c r="F765" s="9" t="str">
        <x:v>—</x:v>
      </x:c>
      <x:c r="G765" s="9" t="str">
        <x:v>Вода, глицерин, натуральный скраб, мягкие ПАВы, природные загустители, мягкий консервант - пищевая добавка Е1519.</x:v>
      </x:c>
      <x:c r="H765" s="9" t="str">
        <x:v>Есть сведения; см. ограничения</x:v>
      </x:c>
      <x:c r="I765" s="9" t="str">
        <x:v>Паста</x:v>
      </x:c>
      <x:c r="J765" s="10" t="n">
        <x:v>1</x:v>
      </x:c>
      <x:c r="K765" s="9" t="str">
        <x:v>Близкий аналог не подтвержден</x:v>
      </x:c>
      <x:c r="L765" s="9"/>
      <x:c r="M765" s="11" t="str">
        <x:v>https://www.bashinkom.ru/products/ojz/PastadlyaochistkirukAleGarazh05l</x:v>
      </x:c>
      <x:c r="N765" s="11"/>
    </x:row>
    <x:row r="766" ht="82" customHeight="1">
      <x:c r="A766" s="6" t="str">
        <x:v>P0761</x:v>
      </x:c>
      <x:c r="B766" s="6" t="str">
        <x:v>БашИнком</x:v>
      </x:c>
      <x:c r="C766" s="6" t="str">
        <x:v>Биотехнологии-набор "БиоЗащита сада, огорода профилактика"</x:v>
      </x:c>
      <x:c r="D766" s="6" t="str">
        <x:v>Набор, не отдельный препарат</x:v>
      </x:c>
      <x:c r="E766" s="6" t="str">
        <x:v>Розничный каталог</x:v>
      </x:c>
      <x:c r="F766" s="6" t="str">
        <x:v>—</x:v>
      </x:c>
      <x:c r="G766" s="6" t="str">
        <x:v>Фитоспорин-К Олимпийский + 90 элементов и минералов, 200 г, нано-гель. Мыло дегтярное пробиотическое Кыш-вредитель Универсальное, 0,5 л; Биоприлипатель Биолипостим, 0,1 л; Богатый-Микро Комплексный 9 микроэлементов, 0,1 л</x:v>
      </x:c>
      <x:c r="H766" s="6" t="str">
        <x:v>Есть сведения; см. ограничения</x:v>
      </x:c>
      <x:c r="I766" s="6" t="str">
        <x:v>См. карточку</x:v>
      </x:c>
      <x:c r="J766" s="12" t="n">
        <x:v>1</x:v>
      </x:c>
      <x:c r="K766" s="6" t="str">
        <x:v>Сравнивать состав набора по отдельным товарам</x:v>
      </x:c>
      <x:c r="L766" s="6"/>
      <x:c r="M766" s="13" t="str">
        <x:v>https://www.bashinkom.ru/products/ojz/BiotekhnologiinaborBioZashchitasadaogorodaprofilaktika</x:v>
      </x:c>
      <x:c r="N766" s="13"/>
    </x:row>
    <x:row r="767" ht="82" customHeight="1">
      <x:c r="A767" s="9" t="str">
        <x:v>P0762</x:v>
      </x:c>
      <x:c r="B767" s="9" t="str">
        <x:v>БашИнком</x:v>
      </x:c>
      <x:c r="C767" s="9" t="str">
        <x:v>Биотехнологии-набор "Биозащита сада, огорода-лечение"</x:v>
      </x:c>
      <x:c r="D767" s="9" t="str">
        <x:v>Набор, не отдельный препарат</x:v>
      </x:c>
      <x:c r="E767" s="9" t="str">
        <x:v>Розничный каталог</x:v>
      </x:c>
      <x:c r="F767" s="9" t="str">
        <x:v>—</x:v>
      </x:c>
      <x:c r="G767" s="9" t="str">
        <x:v>Фитоспорин-М Универсальный, 10 г Фитоспорин-М Реаниматор, 0,2 л; Гуми + БТБ + ЛПЦ Универсальный набор от комплекса вредителей, трехкомпонентный, 6 г + 25 г + 25 г; Биоприлипатель Биолипостим, 0,1 л Богатый-Микро Комплексный 9 микроэлементов, 0,1 л.</x:v>
      </x:c>
      <x:c r="H767" s="9" t="str">
        <x:v>Есть сведения; см. ограничения</x:v>
      </x:c>
      <x:c r="I767" s="9" t="str">
        <x:v>См. карточку</x:v>
      </x:c>
      <x:c r="J767" s="10" t="n">
        <x:v>1</x:v>
      </x:c>
      <x:c r="K767" s="9" t="str">
        <x:v>Сравнивать состав набора по отдельным товарам</x:v>
      </x:c>
      <x:c r="L767" s="9"/>
      <x:c r="M767" s="11" t="str">
        <x:v>https://www.bashinkom.ru/products/ojz/BiotekhnologiinaborBiozashchitasadaogorodalechenie</x:v>
      </x:c>
      <x:c r="N767" s="11"/>
    </x:row>
    <x:row r="768" ht="82" customHeight="1">
      <x:c r="A768" s="6" t="str">
        <x:v>P0763</x:v>
      </x:c>
      <x:c r="B768" s="6" t="str">
        <x:v>БашИнком</x:v>
      </x:c>
      <x:c r="C768" s="6" t="str">
        <x:v>Биотехнологии-набор "Весенний"</x:v>
      </x:c>
      <x:c r="D768" s="6" t="str">
        <x:v>Набор, не отдельный препарат</x:v>
      </x:c>
      <x:c r="E768" s="6" t="str">
        <x:v>Розничный каталог</x:v>
      </x:c>
      <x:c r="F768" s="6" t="str">
        <x:v>—</x:v>
      </x:c>
      <x:c r="G768" s="6" t="str">
        <x:v>Фитоспорин-М Универсальный, 200 г, паста. Гуми-30 Универсал, 300 г, паста; Гуми-Оми Весенний, 1 кг; Кормилица Микориза, 30 г, 1 л, 10 л (мицелий и споры гриба рода Glomus); 33 Богатыря, 5 л (33 штамма полезных почвенных микроорганизмов); Борогум-М, 0,2 л.</x:v>
      </x:c>
      <x:c r="H768" s="6" t="str">
        <x:v>Есть сведения; см. ограничения</x:v>
      </x:c>
      <x:c r="I768" s="6" t="str">
        <x:v>См. карточку</x:v>
      </x:c>
      <x:c r="J768" s="12" t="n">
        <x:v>1</x:v>
      </x:c>
      <x:c r="K768" s="6" t="str">
        <x:v>Сравнивать состав набора по отдельным товарам</x:v>
      </x:c>
      <x:c r="L768" s="6"/>
      <x:c r="M768" s="13" t="str">
        <x:v>https://www.bashinkom.ru/products/ojz/BiotekhnologiinaborVesenniy</x:v>
      </x:c>
      <x:c r="N768" s="13"/>
    </x:row>
    <x:row r="769" ht="138" customHeight="1">
      <x:c r="A769" s="9" t="str">
        <x:v>P0764</x:v>
      </x:c>
      <x:c r="B769" s="9" t="str">
        <x:v>БашИнком</x:v>
      </x:c>
      <x:c r="C769" s="9" t="str">
        <x:v>Биотехнологии-набор "Для выращивания крепкой рассады"</x:v>
      </x:c>
      <x:c r="D769" s="9" t="str">
        <x:v>Набор, не отдельный препарат</x:v>
      </x:c>
      <x:c r="E769" s="9" t="str">
        <x:v>Розничный каталог</x:v>
      </x:c>
      <x:c r="F769" s="9" t="str">
        <x:v>—</x:v>
      </x:c>
      <x:c r="G769" s="9" t="str">
        <x:v>Земля-Матушка Универсальная для рассады, зелени и цветов, 3 л (черноземный почвогрунт); Биофунгицид Фитоспорин-М Рассада, овощи, ягоды, плодовые, 0,110 л (бактериальная споровая культура Bacillus subtilis 26 Д, титр 1 млрд/мл); Органо-минеральное удобрение Гуми-Оми для рассады Овощи, ягоды, цветы, 50 г; Биостимулятор корнеобразования Корнесил, 0,3 л; Стимулятор роста корней Кормилица Микориза, 1 л (мицелий и споры грибов рода… (сокращено)</x:v>
      </x:c>
      <x:c r="H769" s="9" t="str">
        <x:v>Есть сведения; см. ограничения</x:v>
      </x:c>
      <x:c r="I769" s="9" t="str">
        <x:v>См. карточку</x:v>
      </x:c>
      <x:c r="J769" s="10" t="n">
        <x:v>1</x:v>
      </x:c>
      <x:c r="K769" s="9" t="str">
        <x:v>Сравнивать состав набора по отдельным товарам</x:v>
      </x:c>
      <x:c r="L769" s="9"/>
      <x:c r="M769" s="11" t="str">
        <x:v>https://www.bashinkom.ru/products/ojz/BiotekhnologiinaborDlyavyrashchivaniyakrepkoyrassady</x:v>
      </x:c>
      <x:c r="N769" s="11"/>
    </x:row>
    <x:row r="770" ht="96" customHeight="1">
      <x:c r="A770" s="6" t="str">
        <x:v>P0765</x:v>
      </x:c>
      <x:c r="B770" s="6" t="str">
        <x:v>БашИнком</x:v>
      </x:c>
      <x:c r="C770" s="6" t="str">
        <x:v>Биотехнологии-набор "Зелень на подоконнике"</x:v>
      </x:c>
      <x:c r="D770" s="6" t="str">
        <x:v>Набор, не отдельный препарат</x:v>
      </x:c>
      <x:c r="E770" s="6" t="str">
        <x:v>Розничный каталог</x:v>
      </x:c>
      <x:c r="F770" s="6" t="str">
        <x:v>—</x:v>
      </x:c>
      <x:c r="G770" s="6" t="str">
        <x:v>Земля-Матушка Универсальная, 3 л; Богатый-Микро Комплексный 9 микроэлементов, 0,1 л; Кормилица Микориза, 30 г; Почвооздоравливающий микробиологический препарат 33 Богатыря, 1 л; Гуми-Оми для рассады Овощи, ягоды, цветы, 50 г; Фитоспорин-М Рассада, овощи, ягоды, плодовые, 0,110 л</x:v>
      </x:c>
      <x:c r="H770" s="6" t="str">
        <x:v>Есть сведения; см. ограничения</x:v>
      </x:c>
      <x:c r="I770" s="6" t="str">
        <x:v>См. карточку</x:v>
      </x:c>
      <x:c r="J770" s="12" t="n">
        <x:v>1</x:v>
      </x:c>
      <x:c r="K770" s="6" t="str">
        <x:v>Сравнивать состав набора по отдельным товарам</x:v>
      </x:c>
      <x:c r="L770" s="6"/>
      <x:c r="M770" s="13" t="str">
        <x:v>https://www.bashinkom.ru/products/ojz/BiotekhnologiinaborZelennapodokonnike</x:v>
      </x:c>
      <x:c r="N770" s="13"/>
    </x:row>
    <x:row r="771" ht="82" customHeight="1">
      <x:c r="A771" s="9" t="str">
        <x:v>P0766</x:v>
      </x:c>
      <x:c r="B771" s="9" t="str">
        <x:v>БашИнком</x:v>
      </x:c>
      <x:c r="C771" s="9" t="str">
        <x:v>Биотехнологии-набор "Обильное цветение"</x:v>
      </x:c>
      <x:c r="D771" s="9" t="str">
        <x:v>Набор, не отдельный препарат</x:v>
      </x:c>
      <x:c r="E771" s="9" t="str">
        <x:v>Розничный каталог</x:v>
      </x:c>
      <x:c r="F771" s="9" t="str">
        <x:v>—</x:v>
      </x:c>
      <x:c r="G771" s="9" t="str">
        <x:v>Борогум-М, 0,2 л; Богатый-Микро Комплексный 9 микроэлементов, 0,1 л; Комплексное универсальное удобрение для комнатных растений Бионекс-Кеми водорастворимый, 50 г; Биоприлипатель Биолипостим, 0,1 л; Фитоспорин-М Цветы, 0,110 л.</x:v>
      </x:c>
      <x:c r="H771" s="9" t="str">
        <x:v>Есть сведения; см. ограничения</x:v>
      </x:c>
      <x:c r="I771" s="9" t="str">
        <x:v>См. карточку</x:v>
      </x:c>
      <x:c r="J771" s="10" t="n">
        <x:v>1</x:v>
      </x:c>
      <x:c r="K771" s="9" t="str">
        <x:v>Сравнивать состав набора по отдельным товарам</x:v>
      </x:c>
      <x:c r="L771" s="9"/>
      <x:c r="M771" s="11" t="str">
        <x:v>https://www.bashinkom.ru/products/ojz/BiotekhnologiinaborObilnoetsvetenie</x:v>
      </x:c>
      <x:c r="N771" s="11"/>
    </x:row>
    <x:row r="772" ht="96" customHeight="1">
      <x:c r="A772" s="6" t="str">
        <x:v>P0767</x:v>
      </x:c>
      <x:c r="B772" s="6" t="str">
        <x:v>БашИнком</x:v>
      </x:c>
      <x:c r="C772" s="6" t="str">
        <x:v>Биотехнологии-набор "Осенний"</x:v>
      </x:c>
      <x:c r="D772" s="6" t="str">
        <x:v>Набор, не отдельный препарат</x:v>
      </x:c>
      <x:c r="E772" s="6" t="str">
        <x:v>Розничный каталог</x:v>
      </x:c>
      <x:c r="F772" s="6" t="str">
        <x:v>—</x:v>
      </x:c>
      <x:c r="G772" s="6" t="str">
        <x:v>Гуми-Оми Осенний, 1 кг; Доктор Сад – Лечебная побелка садовая, 1 кг; Раскислитель Известь-Гуми с бором, органоминеральное удобрение, 2 кг; Хозяин-Батюшка, 1 кг; 33 Богатыря, 1 л, 5 л (33 штамма полезных почвенных микроорганизмов); Сидерат Рожь озимая – зеленое удобрение, 0,5 кг.</x:v>
      </x:c>
      <x:c r="H772" s="6" t="str">
        <x:v>Есть сведения; см. ограничения</x:v>
      </x:c>
      <x:c r="I772" s="6" t="str">
        <x:v>См. карточку</x:v>
      </x:c>
      <x:c r="J772" s="12" t="n">
        <x:v>1</x:v>
      </x:c>
      <x:c r="K772" s="6" t="str">
        <x:v>Сравнивать состав набора по отдельным товарам</x:v>
      </x:c>
      <x:c r="L772" s="6"/>
      <x:c r="M772" s="13" t="str">
        <x:v>https://www.bashinkom.ru/products/ojz/BiotekhnologiinaborOsenniy</x:v>
      </x:c>
      <x:c r="N772" s="13"/>
    </x:row>
    <x:row r="773" ht="68" customHeight="1">
      <x:c r="A773" s="9" t="str">
        <x:v>P0768</x:v>
      </x:c>
      <x:c r="B773" s="9" t="str">
        <x:v>БашИнком</x:v>
      </x:c>
      <x:c r="C773" s="9" t="str">
        <x:v>Биотехнологии-набор "Пересадка комнатных цветов"</x:v>
      </x:c>
      <x:c r="D773" s="9" t="str">
        <x:v>Набор, не отдельный препарат</x:v>
      </x:c>
      <x:c r="E773" s="9" t="str">
        <x:v>Розничный каталог</x:v>
      </x:c>
      <x:c r="F773" s="9" t="str">
        <x:v>—</x:v>
      </x:c>
      <x:c r="G773" s="9" t="str">
        <x:v>Земля-Матушка Цветочная, 3 л; Разрыхлитель оздоравливающий ПухоВита, 5 л; Корнесил, 0,3 л; Кормилица Микориза, 30 г; Почвооздоравливающий микробиологический препарат 33 Богатыря, 1 л.</x:v>
      </x:c>
      <x:c r="H773" s="9" t="str">
        <x:v>Есть сведения; см. ограничения</x:v>
      </x:c>
      <x:c r="I773" s="9" t="str">
        <x:v>См. карточку</x:v>
      </x:c>
      <x:c r="J773" s="10" t="n">
        <x:v>1</x:v>
      </x:c>
      <x:c r="K773" s="9" t="str">
        <x:v>Сравнивать состав набора по отдельным товарам</x:v>
      </x:c>
      <x:c r="L773" s="9"/>
      <x:c r="M773" s="11" t="str">
        <x:v>https://www.bashinkom.ru/products/ojz/BiotekhnologiinaborPeresadkakomnatnykhtsvetov</x:v>
      </x:c>
      <x:c r="N773" s="11"/>
    </x:row>
    <x:row r="774" ht="68" customHeight="1">
      <x:c r="A774" s="6" t="str">
        <x:v>P0769</x:v>
      </x:c>
      <x:c r="B774" s="6" t="str">
        <x:v>БашИнком</x:v>
      </x:c>
      <x:c r="C774" s="6" t="str">
        <x:v>Биотехнологии-набор "Уход за комнатными цветами"</x:v>
      </x:c>
      <x:c r="D774" s="6" t="str">
        <x:v>Набор, не отдельный препарат</x:v>
      </x:c>
      <x:c r="E774" s="6" t="str">
        <x:v>Розничный каталог</x:v>
      </x:c>
      <x:c r="F774" s="6" t="str">
        <x:v>—</x:v>
      </x:c>
      <x:c r="G774" s="6" t="str">
        <x:v>Фитоспорин-М Цветы, 0,110 л; Богатый ДОМ, 0,2 л; Комплексное универсальное удобрение для комнатных растений Бионекс-Кеми водорастворимый, 50 г; Богатый-Микро Комплексный 9 микроэлементов, 0,1 л; Гуми-20 Цветы, 0,125 л</x:v>
      </x:c>
      <x:c r="H774" s="6" t="str">
        <x:v>Есть сведения; см. ограничения</x:v>
      </x:c>
      <x:c r="I774" s="6" t="str">
        <x:v>См. карточку</x:v>
      </x:c>
      <x:c r="J774" s="12" t="n">
        <x:v>1</x:v>
      </x:c>
      <x:c r="K774" s="6" t="str">
        <x:v>Сравнивать состав набора по отдельным товарам</x:v>
      </x:c>
      <x:c r="L774" s="6"/>
      <x:c r="M774" s="13" t="str">
        <x:v>https://www.bashinkom.ru/products/ojz/BiotekhnologiinaborUkhodzakomnatnymitsvetami</x:v>
      </x:c>
      <x:c r="N774" s="13"/>
    </x:row>
    <x:row r="775" ht="68" customHeight="1">
      <x:c r="A775" s="9" t="str">
        <x:v>P0770</x:v>
      </x:c>
      <x:c r="B775" s="9" t="str">
        <x:v>БашИнком</x:v>
      </x:c>
      <x:c r="C775" s="9" t="str">
        <x:v>Биотехнологии-набор "Хранение Урожая"</x:v>
      </x:c>
      <x:c r="D775" s="9" t="str">
        <x:v>Набор, не отдельный препарат</x:v>
      </x:c>
      <x:c r="E775" s="9" t="str">
        <x:v>Розничный каталог</x:v>
      </x:c>
      <x:c r="F775" s="9" t="str">
        <x:v>—</x:v>
      </x:c>
      <x:c r="G775" s="9" t="str">
        <x:v>АнтиГниль Фитоспорин-М, Хранение, 30 г; АнтиГниль Фитоспорин-М, Хранение, 0,3 л; ФитоБумага Природная, 2 шт; Побелка Доктор Сад, 1 кг</x:v>
      </x:c>
      <x:c r="H775" s="9" t="str">
        <x:v>Есть сведения; см. ограничения</x:v>
      </x:c>
      <x:c r="I775" s="9" t="str">
        <x:v>См. карточку</x:v>
      </x:c>
      <x:c r="J775" s="10" t="n">
        <x:v>1</x:v>
      </x:c>
      <x:c r="K775" s="9" t="str">
        <x:v>Сравнивать состав набора по отдельным товарам</x:v>
      </x:c>
      <x:c r="L775" s="9"/>
      <x:c r="M775" s="11" t="str">
        <x:v>https://www.bashinkom.ru/products/ojz/BiotekhnologiinaborKHranenieUrozhaya</x:v>
      </x:c>
      <x:c r="N775" s="11"/>
    </x:row>
    <x:row r="776" ht="68" customHeight="1">
      <x:c r="A776" s="6" t="str">
        <x:v>P0771</x:v>
      </x:c>
      <x:c r="B776" s="6" t="str">
        <x:v>БашИнком</x:v>
      </x:c>
      <x:c r="C776" s="6" t="str">
        <x:v>Вика–Овес – зеленое удобрение – 0,3 кг</x:v>
      </x:c>
      <x:c r="D776" s="6" t="str">
        <x:v>Инвентарь, книги, семена, ловушки</x:v>
      </x:c>
      <x:c r="E776" s="6" t="str">
        <x:v>Розничный каталог</x:v>
      </x:c>
      <x:c r="F776" s="6" t="str">
        <x:v>—</x:v>
      </x:c>
      <x:c r="G776" s="6" t="str">
        <x:v>Не сравнивается как препарат</x:v>
      </x:c>
      <x:c r="H776" s="6" t="str">
        <x:v>Есть сведения; см. ограничения</x:v>
      </x:c>
      <x:c r="I776" s="6" t="str">
        <x:v>Семена</x:v>
      </x:c>
      <x:c r="J776" s="12" t="n">
        <x:v>1</x:v>
      </x:c>
      <x:c r="K776" s="6" t="str">
        <x:v>Не препарат</x:v>
      </x:c>
      <x:c r="L776" s="6"/>
      <x:c r="M776" s="13" t="str">
        <x:v>https://www.bashinkom.ru/products/ojz/VikaOveszelenoeudobrenie03kg</x:v>
      </x:c>
      <x:c r="N776" s="13"/>
    </x:row>
    <x:row r="777" ht="68" customHeight="1">
      <x:c r="A777" s="9" t="str">
        <x:v>P0772</x:v>
      </x:c>
      <x:c r="B777" s="9" t="str">
        <x:v>БашИнком</x:v>
      </x:c>
      <x:c r="C777" s="9" t="str">
        <x:v>Вика–Рожь – зеленое удобрение – 0,5 кг</x:v>
      </x:c>
      <x:c r="D777" s="9" t="str">
        <x:v>Инвентарь, книги, семена, ловушки</x:v>
      </x:c>
      <x:c r="E777" s="9" t="str">
        <x:v>Розничный каталог</x:v>
      </x:c>
      <x:c r="F777" s="9" t="str">
        <x:v>—</x:v>
      </x:c>
      <x:c r="G777" s="9" t="str">
        <x:v>Не сравнивается как препарат</x:v>
      </x:c>
      <x:c r="H777" s="9" t="str">
        <x:v>Есть сведения; см. ограничения</x:v>
      </x:c>
      <x:c r="I777" s="9" t="str">
        <x:v>Семена</x:v>
      </x:c>
      <x:c r="J777" s="10" t="n">
        <x:v>1</x:v>
      </x:c>
      <x:c r="K777" s="9" t="str">
        <x:v>Не препарат</x:v>
      </x:c>
      <x:c r="L777" s="9"/>
      <x:c r="M777" s="11" t="str">
        <x:v>https://www.bashinkom.ru/products/ojz/VikaRozhzelenoeudobrenie05kg</x:v>
      </x:c>
      <x:c r="N777" s="11"/>
    </x:row>
    <x:row r="778" ht="68" customHeight="1">
      <x:c r="A778" s="6" t="str">
        <x:v>P0773</x:v>
      </x:c>
      <x:c r="B778" s="6" t="str">
        <x:v>БашИнком</x:v>
      </x:c>
      <x:c r="C778" s="6" t="str">
        <x:v>Горчица – зеленое удобрение – 0,5 кг</x:v>
      </x:c>
      <x:c r="D778" s="6" t="str">
        <x:v>Инвентарь, книги, семена, ловушки</x:v>
      </x:c>
      <x:c r="E778" s="6" t="str">
        <x:v>Розничный каталог</x:v>
      </x:c>
      <x:c r="F778" s="6" t="str">
        <x:v>—</x:v>
      </x:c>
      <x:c r="G778" s="6" t="str">
        <x:v>Не сравнивается как препарат</x:v>
      </x:c>
      <x:c r="H778" s="6" t="str">
        <x:v>Есть сведения; см. ограничения</x:v>
      </x:c>
      <x:c r="I778" s="6" t="str">
        <x:v>Семена</x:v>
      </x:c>
      <x:c r="J778" s="12" t="n">
        <x:v>1</x:v>
      </x:c>
      <x:c r="K778" s="6" t="str">
        <x:v>Не препарат</x:v>
      </x:c>
      <x:c r="L778" s="6"/>
      <x:c r="M778" s="13" t="str">
        <x:v>https://www.bashinkom.ru/products/ojz/Gorchitsazelenoeudobrenie05kg</x:v>
      </x:c>
      <x:c r="N778" s="13"/>
    </x:row>
    <x:row r="779" ht="110" customHeight="1">
      <x:c r="A779" s="9" t="str">
        <x:v>P0774</x:v>
      </x:c>
      <x:c r="B779" s="9" t="str">
        <x:v>БашИнком</x:v>
      </x:c>
      <x:c r="C779" s="9" t="str">
        <x:v>Горыныч – бинарный биопрепарат для туалетов и выгребных ям</x:v>
      </x:c>
      <x:c r="D779" s="9" t="str">
        <x:v>Хозяйственное средство</x:v>
      </x:c>
      <x:c r="E779" s="9" t="str">
        <x:v>Розничный каталог</x:v>
      </x:c>
      <x:c r="F779" s="9" t="str">
        <x:v>G33</x:v>
      </x:c>
      <x:c r="G779" s="9" t="str">
        <x:v>Состоит из двух частей: 1 часть – флакон 0,5 л с жидким биопрепаратом, содержащим ассоциацию микроорганизмов, высвобождающих полезные энзимы и расщепляющих отходы; 2 часть – 3 пакета, содержащих по 30 г природного гумусного биоактиватора (биокатализатора) и микроорганизмы (закваски), вырабатывающие ферменты для ускорения разложения органики.</x:v>
      </x:c>
      <x:c r="H779" s="9" t="str">
        <x:v>Есть сведения; см. ограничения</x:v>
      </x:c>
      <x:c r="I779" s="9" t="str">
        <x:v>Жидкость и порошок</x:v>
      </x:c>
      <x:c r="J779" s="10" t="n">
        <x:v>2</x:v>
      </x:c>
      <x:c r="K779" s="9" t="str">
        <x:v>См. коды и ограничения на листе «Сопоставления»</x:v>
      </x:c>
      <x:c r="L779" s="9"/>
      <x:c r="M779" s="11" t="str">
        <x:v>https://www.bashinkom.ru/products/ojz/Gorynychbinarnyybiopreparatdlyatualetovivygrebnykhyam</x:v>
      </x:c>
      <x:c r="N779" s="11"/>
    </x:row>
    <x:row r="780" ht="68" customHeight="1">
      <x:c r="A780" s="6" t="str">
        <x:v>P0775</x:v>
      </x:c>
      <x:c r="B780" s="6" t="str">
        <x:v>БашИнком</x:v>
      </x:c>
      <x:c r="C780" s="6" t="str">
        <x:v>Гуми + БТБ + ЛПЦ Универсальный набор, - от комплекса вредителей, трехкомпонентный – + +</x:v>
      </x:c>
      <x:c r="D780" s="6" t="str">
        <x:v>Набор, не отдельный препарат</x:v>
      </x:c>
      <x:c r="E780" s="6" t="str">
        <x:v>Розничный каталог</x:v>
      </x:c>
      <x:c r="F780" s="6" t="str">
        <x:v>—</x:v>
      </x:c>
      <x:c r="G780" s="6" t="str">
        <x:v>Битоксибациллин, П БА–1500 ЕА/мг, титр не менее 20 млрд. спор/г, Лепидоцид, П БА–3000 ЕА/мг, титр не менее 60 млрд. спор/г, гуматы Гуми.</x:v>
      </x:c>
      <x:c r="H780" s="6" t="str">
        <x:v>Есть сведения; см. ограничения</x:v>
      </x:c>
      <x:c r="I780" s="6" t="str">
        <x:v>Порошок</x:v>
      </x:c>
      <x:c r="J780" s="12" t="n">
        <x:v>1</x:v>
      </x:c>
      <x:c r="K780" s="6" t="str">
        <x:v>Сравнивать состав набора по отдельным товарам</x:v>
      </x:c>
      <x:c r="L780" s="6"/>
      <x:c r="M780" s="13" t="str">
        <x:v>https://www.bashinkom.ru/products/ojz/GumiBTBLPTSUNIVERSALNYYNABORtrekhkomponentnyy6g50g50g</x:v>
      </x:c>
      <x:c r="N780" s="13"/>
    </x:row>
    <x:row r="781" ht="68" customHeight="1">
      <x:c r="A781" s="9" t="str">
        <x:v>P0776</x:v>
      </x:c>
      <x:c r="B781" s="9" t="str">
        <x:v>БашИнком</x:v>
      </x:c>
      <x:c r="C781" s="9" t="str">
        <x:v>Желтый ловкач - клеевые биоловушки</x:v>
      </x:c>
      <x:c r="D781" s="9" t="str">
        <x:v>Инвентарь, книги, семена, ловушки</x:v>
      </x:c>
      <x:c r="E781" s="9" t="str">
        <x:v>Розничный каталог</x:v>
      </x:c>
      <x:c r="F781" s="9" t="str">
        <x:v>—</x:v>
      </x:c>
      <x:c r="G781" s="9" t="str">
        <x:v>Не сравнивается как препарат</x:v>
      </x:c>
      <x:c r="H781" s="9" t="str">
        <x:v>Есть сведения; см. ограничения</x:v>
      </x:c>
      <x:c r="I781" s="9" t="str">
        <x:v>Нет</x:v>
      </x:c>
      <x:c r="J781" s="10" t="n">
        <x:v>1</x:v>
      </x:c>
      <x:c r="K781" s="9" t="str">
        <x:v>Не препарат</x:v>
      </x:c>
      <x:c r="L781" s="9"/>
      <x:c r="M781" s="11" t="str">
        <x:v>https://www.bashinkom.ru/products/ojz/ZHyeltyylovkach</x:v>
      </x:c>
      <x:c r="N781" s="11"/>
    </x:row>
    <x:row r="782" ht="68" customHeight="1">
      <x:c r="A782" s="6" t="str">
        <x:v>P0777</x:v>
      </x:c>
      <x:c r="B782" s="6" t="str">
        <x:v>БашИнком</x:v>
      </x:c>
      <x:c r="C782" s="6" t="str">
        <x:v>Ловчий пояс для защиты плодовых и декоративных культур-3 м</x:v>
      </x:c>
      <x:c r="D782" s="6" t="str">
        <x:v>Инвентарь, книги, семена, ловушки</x:v>
      </x:c>
      <x:c r="E782" s="6" t="str">
        <x:v>Розничный каталог</x:v>
      </x:c>
      <x:c r="F782" s="6" t="str">
        <x:v>—</x:v>
      </x:c>
      <x:c r="G782" s="6" t="str">
        <x:v>Не сравнивается как препарат</x:v>
      </x:c>
      <x:c r="H782" s="6" t="str">
        <x:v>Есть сведения; см. ограничения</x:v>
      </x:c>
      <x:c r="I782" s="6" t="str">
        <x:v>Клейкая лента</x:v>
      </x:c>
      <x:c r="J782" s="12" t="n">
        <x:v>1</x:v>
      </x:c>
      <x:c r="K782" s="6" t="str">
        <x:v>Не препарат</x:v>
      </x:c>
      <x:c r="L782" s="6"/>
      <x:c r="M782" s="13" t="str">
        <x:v>https://www.bashinkom.ru/products/ojz/LOVCHIYPOYASdlyazashchityplodovykhidekorativnykhkultur</x:v>
      </x:c>
      <x:c r="N782" s="13"/>
    </x:row>
    <x:row r="783" ht="68" customHeight="1">
      <x:c r="A783" s="9" t="str">
        <x:v>P0778</x:v>
      </x:c>
      <x:c r="B783" s="9" t="str">
        <x:v>БашИнком</x:v>
      </x:c>
      <x:c r="C783" s="9" t="str">
        <x:v>Овес–зеленое удобрение – 0,3 кг</x:v>
      </x:c>
      <x:c r="D783" s="9" t="str">
        <x:v>Инвентарь, книги, семена, ловушки</x:v>
      </x:c>
      <x:c r="E783" s="9" t="str">
        <x:v>Розничный каталог</x:v>
      </x:c>
      <x:c r="F783" s="9" t="str">
        <x:v>—</x:v>
      </x:c>
      <x:c r="G783" s="9" t="str">
        <x:v>Не сравнивается как препарат</x:v>
      </x:c>
      <x:c r="H783" s="9" t="str">
        <x:v>Есть сведения; см. ограничения</x:v>
      </x:c>
      <x:c r="I783" s="9" t="str">
        <x:v>Семена</x:v>
      </x:c>
      <x:c r="J783" s="10" t="n">
        <x:v>1</x:v>
      </x:c>
      <x:c r="K783" s="9" t="str">
        <x:v>Не препарат</x:v>
      </x:c>
      <x:c r="L783" s="9"/>
      <x:c r="M783" s="11" t="str">
        <x:v>https://www.bashinkom.ru/products/ojz/Oveszelenoeudobrenie03kg</x:v>
      </x:c>
      <x:c r="N783" s="11"/>
    </x:row>
    <x:row r="784" ht="68" customHeight="1">
      <x:c r="A784" s="6" t="str">
        <x:v>P0779</x:v>
      </x:c>
      <x:c r="B784" s="6" t="str">
        <x:v>БашИнком</x:v>
      </x:c>
      <x:c r="C784" s="6" t="str">
        <x:v>Рожь Озимая – зеленое удобрение – 0,5 кг</x:v>
      </x:c>
      <x:c r="D784" s="6" t="str">
        <x:v>Инвентарь, книги, семена, ловушки</x:v>
      </x:c>
      <x:c r="E784" s="6" t="str">
        <x:v>Розничный каталог</x:v>
      </x:c>
      <x:c r="F784" s="6" t="str">
        <x:v>—</x:v>
      </x:c>
      <x:c r="G784" s="6" t="str">
        <x:v>Не сравнивается как препарат</x:v>
      </x:c>
      <x:c r="H784" s="6" t="str">
        <x:v>Есть сведения; см. ограничения</x:v>
      </x:c>
      <x:c r="I784" s="6" t="str">
        <x:v>Семена</x:v>
      </x:c>
      <x:c r="J784" s="12" t="n">
        <x:v>1</x:v>
      </x:c>
      <x:c r="K784" s="6" t="str">
        <x:v>Не препарат</x:v>
      </x:c>
      <x:c r="L784" s="6"/>
      <x:c r="M784" s="13" t="str">
        <x:v>https://www.bashinkom.ru/products/ojz/ROZHOZIMAYAzelenoeudobrenie05kg</x:v>
      </x:c>
      <x:c r="N784" s="13"/>
    </x:row>
    <x:row r="785" ht="68" customHeight="1">
      <x:c r="A785" s="9" t="str">
        <x:v>P0780</x:v>
      </x:c>
      <x:c r="B785" s="9" t="str">
        <x:v>БашИнком</x:v>
      </x:c>
      <x:c r="C785" s="9" t="str">
        <x:v>Светильник 3 урожая ОЖЗ</x:v>
      </x:c>
      <x:c r="D785" s="9" t="str">
        <x:v>Инвентарь, книги, семена, ловушки</x:v>
      </x:c>
      <x:c r="E785" s="9" t="str">
        <x:v>Розничный каталог</x:v>
      </x:c>
      <x:c r="F785" s="9" t="str">
        <x:v>—</x:v>
      </x:c>
      <x:c r="G785" s="9" t="str">
        <x:v>Не сравнивается как препарат</x:v>
      </x:c>
      <x:c r="H785" s="9" t="str">
        <x:v>Есть сведения; см. ограничения</x:v>
      </x:c>
      <x:c r="I785" s="9" t="str">
        <x:v>См. карточку</x:v>
      </x:c>
      <x:c r="J785" s="10" t="n">
        <x:v>1</x:v>
      </x:c>
      <x:c r="K785" s="9" t="str">
        <x:v>Не препарат</x:v>
      </x:c>
      <x:c r="L785" s="9"/>
      <x:c r="M785" s="11" t="str">
        <x:v>https://www.bashinkom.ru/products/ojz/Svetilnik3urozhayaOZHZ</x:v>
      </x:c>
      <x:c r="N785" s="11"/>
    </x:row>
    <x:row r="786" ht="68" customHeight="1">
      <x:c r="A786" s="6" t="str">
        <x:v>P0781</x:v>
      </x:c>
      <x:c r="B786" s="6" t="str">
        <x:v>БашИнком</x:v>
      </x:c>
      <x:c r="C786" s="6" t="str">
        <x:v>Светильник 5 урожаев ОЖЗ</x:v>
      </x:c>
      <x:c r="D786" s="6" t="str">
        <x:v>Инвентарь, книги, семена, ловушки</x:v>
      </x:c>
      <x:c r="E786" s="6" t="str">
        <x:v>Розничный каталог</x:v>
      </x:c>
      <x:c r="F786" s="6" t="str">
        <x:v>—</x:v>
      </x:c>
      <x:c r="G786" s="6" t="str">
        <x:v>Не сравнивается как препарат</x:v>
      </x:c>
      <x:c r="H786" s="6" t="str">
        <x:v>Есть сведения; см. ограничения</x:v>
      </x:c>
      <x:c r="I786" s="6" t="str">
        <x:v>См. карточку</x:v>
      </x:c>
      <x:c r="J786" s="12" t="n">
        <x:v>1</x:v>
      </x:c>
      <x:c r="K786" s="6" t="str">
        <x:v>Не препарат</x:v>
      </x:c>
      <x:c r="L786" s="6"/>
      <x:c r="M786" s="13" t="str">
        <x:v>https://www.bashinkom.ru/products/ojz/Svetilnik5urozhaevOZHZ</x:v>
      </x:c>
      <x:c r="N786" s="13"/>
    </x:row>
    <x:row r="787" ht="68" customHeight="1">
      <x:c r="A787" s="9" t="str">
        <x:v>P0782</x:v>
      </x:c>
      <x:c r="B787" s="9" t="str">
        <x:v>БашИнком</x:v>
      </x:c>
      <x:c r="C787" s="9" t="str">
        <x:v>Удачный – биопрепарат для туалетов и выгребных ям</x:v>
      </x:c>
      <x:c r="D787" s="9" t="str">
        <x:v>Хозяйственное средство</x:v>
      </x:c>
      <x:c r="E787" s="9" t="str">
        <x:v>Розничный каталог</x:v>
      </x:c>
      <x:c r="F787" s="9" t="str">
        <x:v>G33</x:v>
      </x:c>
      <x:c r="G787" s="9" t="str">
        <x:v>Споры бактерий, способных высвобождать полезные энзимы, расщепляющие отходы, наполнитель.</x:v>
      </x:c>
      <x:c r="H787" s="9" t="str">
        <x:v>Есть сведения; см. ограничения</x:v>
      </x:c>
      <x:c r="I787" s="9" t="str">
        <x:v>Порошок</x:v>
      </x:c>
      <x:c r="J787" s="10" t="n">
        <x:v>3</x:v>
      </x:c>
      <x:c r="K787" s="9" t="str">
        <x:v>См. коды и ограничения на листе «Сопоставления»</x:v>
      </x:c>
      <x:c r="L787" s="9"/>
      <x:c r="M787" s="11" t="str">
        <x:v>https://www.bashinkom.ru/products/ojz/Udachnyybiopreparatdlyatualetovivygrebnykhyam30g</x:v>
      </x:c>
      <x:c r="N787" s="11"/>
    </x:row>
    <x:row r="788" ht="68" customHeight="1">
      <x:c r="A788" s="6" t="str">
        <x:v>P0783</x:v>
      </x:c>
      <x:c r="B788" s="6" t="str">
        <x:v>БашИнком</x:v>
      </x:c>
      <x:c r="C788" s="6" t="str">
        <x:v>ФитоСветильник светодиодный «ФитоСпектр ОЖЗ»</x:v>
      </x:c>
      <x:c r="D788" s="6" t="str">
        <x:v>Инвентарь, книги, семена, ловушки</x:v>
      </x:c>
      <x:c r="E788" s="6" t="str">
        <x:v>Розничный каталог</x:v>
      </x:c>
      <x:c r="F788" s="6" t="str">
        <x:v>—</x:v>
      </x:c>
      <x:c r="G788" s="6" t="str">
        <x:v>Не сравнивается как препарат</x:v>
      </x:c>
      <x:c r="H788" s="6" t="str">
        <x:v>Есть сведения; см. ограничения</x:v>
      </x:c>
      <x:c r="I788" s="6" t="str">
        <x:v>Нет</x:v>
      </x:c>
      <x:c r="J788" s="12" t="n">
        <x:v>1</x:v>
      </x:c>
      <x:c r="K788" s="6" t="str">
        <x:v>Не препарат</x:v>
      </x:c>
      <x:c r="L788" s="6"/>
      <x:c r="M788" s="13" t="str">
        <x:v>https://www.bashinkom.ru/products/ojz/FitoSvetilniksvetodiodnyyFitoSpektrOZHZ</x:v>
      </x:c>
      <x:c r="N788" s="13"/>
    </x:row>
    <x:row r="789" ht="68" customHeight="1">
      <x:c r="A789" s="9" t="str">
        <x:v>P0784</x:v>
      </x:c>
      <x:c r="B789" s="9" t="str">
        <x:v>БашИнком</x:v>
      </x:c>
      <x:c r="C789" s="9" t="str">
        <x:v>Хозяин Септиков</x:v>
      </x:c>
      <x:c r="D789" s="9" t="str">
        <x:v>Хозяйственное средство</x:v>
      </x:c>
      <x:c r="E789" s="9" t="str">
        <x:v>Розничный каталог</x:v>
      </x:c>
      <x:c r="F789" s="9" t="str">
        <x:v>G33</x:v>
      </x:c>
      <x:c r="G789" s="9" t="str">
        <x:v>ассоциация эффективных, полезных микроорганизмов, активатор биологических процессов, ферменты, органический и минеральный наполнители.</x:v>
      </x:c>
      <x:c r="H789" s="9" t="str">
        <x:v>Есть сведения; см. ограничения</x:v>
      </x:c>
      <x:c r="I789" s="9" t="str">
        <x:v>Порошок</x:v>
      </x:c>
      <x:c r="J789" s="10" t="n">
        <x:v>2</x:v>
      </x:c>
      <x:c r="K789" s="9" t="str">
        <x:v>См. коды и ограничения на листе «Сопоставления»</x:v>
      </x:c>
      <x:c r="L789" s="9"/>
      <x:c r="M789" s="11" t="str">
        <x:v>https://www.bashinkom.ru/products/ojz/KHozyainSeptika50g</x:v>
      </x:c>
      <x:c r="N789" s="11"/>
    </x:row>
    <x:row r="790" ht="68" customHeight="1">
      <x:c r="A790" s="6" t="str">
        <x:v>P0785</x:v>
      </x:c>
      <x:c r="B790" s="6" t="str">
        <x:v>БашИнком</x:v>
      </x:c>
      <x:c r="C790" s="6" t="str">
        <x:v>Царь-Дорант и НЕТ ЗАПАХОВ</x:v>
      </x:c>
      <x:c r="D790" s="6" t="str">
        <x:v>Хозяйственное средство</x:v>
      </x:c>
      <x:c r="E790" s="6" t="str">
        <x:v>Розничный каталог</x:v>
      </x:c>
      <x:c r="F790" s="6" t="str">
        <x:v>—</x:v>
      </x:c>
      <x:c r="G790" s="6" t="str">
        <x:v>Натуральное соединение йода</x:v>
      </x:c>
      <x:c r="H790" s="6" t="str">
        <x:v>Есть сведения; см. ограничения</x:v>
      </x:c>
      <x:c r="I790" s="6" t="str">
        <x:v>Жидкость</x:v>
      </x:c>
      <x:c r="J790" s="12" t="n">
        <x:v>1</x:v>
      </x:c>
      <x:c r="K790" s="6" t="str">
        <x:v>Близкий аналог не подтвержден</x:v>
      </x:c>
      <x:c r="L790" s="6"/>
      <x:c r="M790" s="13" t="str">
        <x:v>https://www.bashinkom.ru/products/ojz/TSarDorantiNETZAPAKHOV03l</x:v>
      </x:c>
      <x:c r="N790" s="13"/>
    </x:row>
    <x:row r="791" ht="68" customHeight="1">
      <x:c r="A791" s="9" t="str">
        <x:v>P0786</x:v>
      </x:c>
      <x:c r="B791" s="9" t="str">
        <x:v>БашИнком</x:v>
      </x:c>
      <x:c r="C791" s="9" t="str">
        <x:v>Царь-Дорант обезвреживает вирусы и бактерии</x:v>
      </x:c>
      <x:c r="D791" s="9" t="str">
        <x:v>Хозяйственное средство</x:v>
      </x:c>
      <x:c r="E791" s="9" t="str">
        <x:v>Розничный каталог</x:v>
      </x:c>
      <x:c r="F791" s="9" t="str">
        <x:v>—</x:v>
      </x:c>
      <x:c r="G791" s="9" t="str">
        <x:v>Натуральное соединение йода</x:v>
      </x:c>
      <x:c r="H791" s="9" t="str">
        <x:v>Есть сведения; см. ограничения</x:v>
      </x:c>
      <x:c r="I791" s="9" t="str">
        <x:v>Жидкость</x:v>
      </x:c>
      <x:c r="J791" s="10" t="n">
        <x:v>1</x:v>
      </x:c>
      <x:c r="K791" s="9" t="str">
        <x:v>Близкий аналог не подтвержден</x:v>
      </x:c>
      <x:c r="L791" s="9"/>
      <x:c r="M791" s="11" t="str">
        <x:v>https://www.bashinkom.ru/products/ojz/TSarDorantobezvrezhivaetvirusyibakterii</x:v>
      </x:c>
      <x:c r="N791" s="11"/>
    </x:row>
    <x:row r="792" ht="68" customHeight="1">
      <x:c r="A792" s="6" t="str">
        <x:v>P0787</x:v>
      </x:c>
      <x:c r="B792" s="6" t="str">
        <x:v>БашИнком</x:v>
      </x:c>
      <x:c r="C792" s="6" t="str">
        <x:v>Экомыло Нежнулька для рук и тела</x:v>
      </x:c>
      <x:c r="D792" s="6" t="str">
        <x:v>Хозяйственное средство</x:v>
      </x:c>
      <x:c r="E792" s="6" t="str">
        <x:v>Розничный каталог</x:v>
      </x:c>
      <x:c r="F792" s="6" t="str">
        <x:v>—</x:v>
      </x:c>
      <x:c r="G792" s="6" t="str">
        <x:v>Вода, анионые ПАВ, неионогенные ПАВ, амфотерные ПАВ, хлорид натрия.</x:v>
      </x:c>
      <x:c r="H792" s="6" t="str">
        <x:v>Есть сведения; см. ограничения</x:v>
      </x:c>
      <x:c r="I792" s="6" t="str">
        <x:v>Жидкость</x:v>
      </x:c>
      <x:c r="J792" s="12" t="n">
        <x:v>1</x:v>
      </x:c>
      <x:c r="K792" s="6" t="str">
        <x:v>Близкий аналог не подтвержден</x:v>
      </x:c>
      <x:c r="L792" s="6"/>
      <x:c r="M792" s="13" t="str">
        <x:v>https://www.bashinkom.ru/products/ojz/EkomyloNezhnulkadlyarukitela05l</x:v>
      </x:c>
      <x:c r="N792" s="13"/>
    </x:row>
    <x:row r="793" ht="68" customHeight="1">
      <x:c r="A793" s="9" t="str">
        <x:v>P0788</x:v>
      </x:c>
      <x:c r="B793" s="9" t="str">
        <x:v>БашИнком</x:v>
      </x:c>
      <x:c r="C793" s="9" t="str">
        <x:v>Экомыло Огородник</x:v>
      </x:c>
      <x:c r="D793" s="9" t="str">
        <x:v>Хозяйственное средство</x:v>
      </x:c>
      <x:c r="E793" s="9" t="str">
        <x:v>Розничный каталог</x:v>
      </x:c>
      <x:c r="F793" s="9" t="str">
        <x:v>—</x:v>
      </x:c>
      <x:c r="G793" s="9" t="str">
        <x:v>Пробиотики, растительные соли жирных кислот</x:v>
      </x:c>
      <x:c r="H793" s="9" t="str">
        <x:v>Есть сведения; см. ограничения</x:v>
      </x:c>
      <x:c r="I793" s="9" t="str">
        <x:v>Жидкость</x:v>
      </x:c>
      <x:c r="J793" s="10" t="n">
        <x:v>1</x:v>
      </x:c>
      <x:c r="K793" s="9" t="str">
        <x:v>Близкий аналог не подтвержден</x:v>
      </x:c>
      <x:c r="L793" s="9"/>
      <x:c r="M793" s="11" t="str">
        <x:v>https://www.bashinkom.ru/products/ojz/EkomyloOgorodnik05l</x:v>
      </x:c>
      <x:c r="N793" s="11"/>
    </x:row>
    <x:row r="794" ht="68" customHeight="1">
      <x:c r="A794" s="6" t="str">
        <x:v>P0789</x:v>
      </x:c>
      <x:c r="B794" s="6" t="str">
        <x:v>БашИнком</x:v>
      </x:c>
      <x:c r="C794" s="6" t="str">
        <x:v>Экомыло Хозяйственное, универсальное, пробиотическое</x:v>
      </x:c>
      <x:c r="D794" s="6" t="str">
        <x:v>Хозяйственное средство</x:v>
      </x:c>
      <x:c r="E794" s="6" t="str">
        <x:v>Розничный каталог</x:v>
      </x:c>
      <x:c r="F794" s="6" t="str">
        <x:v>—</x:v>
      </x:c>
      <x:c r="G794" s="6" t="str">
        <x:v>Пробиотики, растительные соли жирных кислот.</x:v>
      </x:c>
      <x:c r="H794" s="6" t="str">
        <x:v>Есть сведения; см. ограничения</x:v>
      </x:c>
      <x:c r="I794" s="6" t="str">
        <x:v>Канистра</x:v>
      </x:c>
      <x:c r="J794" s="12" t="n">
        <x:v>1</x:v>
      </x:c>
      <x:c r="K794" s="6" t="str">
        <x:v>Близкий аналог не подтвержден</x:v>
      </x:c>
      <x:c r="L794" s="6"/>
      <x:c r="M794" s="13" t="str">
        <x:v>https://www.bashinkom.ru/products/ojz/EkomyloKHozyaystvennoeuniversalnoeprobioticheskoe5l</x:v>
      </x:c>
      <x:c r="N794" s="13"/>
    </x:row>
  </x:sheetData>
  <x:mergeCells>
    <x:mergeCell ref="A1:N1"/>
    <x:mergeCell ref="A2:N2"/>
    <x:mergeCell ref="A3:N3"/>
  </x:mergeCells>
  <x:hyperlinks>
    <x:hyperlink xmlns:ns0="http://schemas.openxmlformats.org/officeDocument/2006/relationships" ref="M6" ns0:id="rId2"/>
    <x:hyperlink xmlns:ns1="http://schemas.openxmlformats.org/officeDocument/2006/relationships" ref="M7" ns1:id="rId3"/>
    <x:hyperlink xmlns:ns2="http://schemas.openxmlformats.org/officeDocument/2006/relationships" ref="M8" ns2:id="rId4"/>
    <x:hyperlink xmlns:ns3="http://schemas.openxmlformats.org/officeDocument/2006/relationships" ref="M9" ns3:id="rId5"/>
    <x:hyperlink xmlns:ns4="http://schemas.openxmlformats.org/officeDocument/2006/relationships" ref="M10" ns4:id="rId6"/>
    <x:hyperlink xmlns:ns5="http://schemas.openxmlformats.org/officeDocument/2006/relationships" ref="M11" ns5:id="rId7"/>
    <x:hyperlink xmlns:ns6="http://schemas.openxmlformats.org/officeDocument/2006/relationships" ref="M12" ns6:id="rId8"/>
    <x:hyperlink xmlns:ns7="http://schemas.openxmlformats.org/officeDocument/2006/relationships" ref="M13" ns7:id="rId9"/>
    <x:hyperlink xmlns:ns8="http://schemas.openxmlformats.org/officeDocument/2006/relationships" ref="M14" ns8:id="rId10"/>
    <x:hyperlink xmlns:ns9="http://schemas.openxmlformats.org/officeDocument/2006/relationships" ref="M15" ns9:id="rId11"/>
    <x:hyperlink xmlns:ns10="http://schemas.openxmlformats.org/officeDocument/2006/relationships" ref="M16" ns10:id="rId12"/>
    <x:hyperlink xmlns:ns11="http://schemas.openxmlformats.org/officeDocument/2006/relationships" ref="M17" ns11:id="rId13"/>
    <x:hyperlink xmlns:ns12="http://schemas.openxmlformats.org/officeDocument/2006/relationships" ref="M18" ns12:id="rId14"/>
    <x:hyperlink xmlns:ns13="http://schemas.openxmlformats.org/officeDocument/2006/relationships" ref="M19" ns13:id="rId15"/>
    <x:hyperlink xmlns:ns14="http://schemas.openxmlformats.org/officeDocument/2006/relationships" ref="M20" ns14:id="rId16"/>
    <x:hyperlink xmlns:ns15="http://schemas.openxmlformats.org/officeDocument/2006/relationships" ref="M21" ns15:id="rId17"/>
    <x:hyperlink xmlns:ns16="http://schemas.openxmlformats.org/officeDocument/2006/relationships" ref="M22" ns16:id="rId18"/>
    <x:hyperlink xmlns:ns17="http://schemas.openxmlformats.org/officeDocument/2006/relationships" ref="M23" ns17:id="rId19"/>
    <x:hyperlink xmlns:ns18="http://schemas.openxmlformats.org/officeDocument/2006/relationships" ref="M24" ns18:id="rId20"/>
    <x:hyperlink xmlns:ns19="http://schemas.openxmlformats.org/officeDocument/2006/relationships" ref="M25" ns19:id="rId21"/>
    <x:hyperlink xmlns:ns20="http://schemas.openxmlformats.org/officeDocument/2006/relationships" ref="M26" ns20:id="rId22"/>
    <x:hyperlink xmlns:ns21="http://schemas.openxmlformats.org/officeDocument/2006/relationships" ref="M27" ns21:id="rId23"/>
    <x:hyperlink xmlns:ns22="http://schemas.openxmlformats.org/officeDocument/2006/relationships" ref="M28" ns22:id="rId24"/>
    <x:hyperlink xmlns:ns23="http://schemas.openxmlformats.org/officeDocument/2006/relationships" ref="M29" ns23:id="rId25"/>
    <x:hyperlink xmlns:ns24="http://schemas.openxmlformats.org/officeDocument/2006/relationships" ref="M30" ns24:id="rId26"/>
    <x:hyperlink xmlns:ns25="http://schemas.openxmlformats.org/officeDocument/2006/relationships" ref="M31" ns25:id="rId27"/>
    <x:hyperlink xmlns:ns26="http://schemas.openxmlformats.org/officeDocument/2006/relationships" ref="M32" ns26:id="rId28"/>
    <x:hyperlink xmlns:ns27="http://schemas.openxmlformats.org/officeDocument/2006/relationships" ref="M33" ns27:id="rId29"/>
    <x:hyperlink xmlns:ns28="http://schemas.openxmlformats.org/officeDocument/2006/relationships" ref="M34" ns28:id="rId30"/>
    <x:hyperlink xmlns:ns29="http://schemas.openxmlformats.org/officeDocument/2006/relationships" ref="M35" ns29:id="rId31"/>
    <x:hyperlink xmlns:ns30="http://schemas.openxmlformats.org/officeDocument/2006/relationships" ref="M36" ns30:id="rId32"/>
    <x:hyperlink xmlns:ns31="http://schemas.openxmlformats.org/officeDocument/2006/relationships" ref="M37" ns31:id="rId33"/>
    <x:hyperlink xmlns:ns32="http://schemas.openxmlformats.org/officeDocument/2006/relationships" ref="M38" ns32:id="rId34"/>
    <x:hyperlink xmlns:ns33="http://schemas.openxmlformats.org/officeDocument/2006/relationships" ref="M39" ns33:id="rId35"/>
    <x:hyperlink xmlns:ns34="http://schemas.openxmlformats.org/officeDocument/2006/relationships" ref="M40" ns34:id="rId36"/>
    <x:hyperlink xmlns:ns35="http://schemas.openxmlformats.org/officeDocument/2006/relationships" ref="M41" ns35:id="rId37"/>
    <x:hyperlink xmlns:ns36="http://schemas.openxmlformats.org/officeDocument/2006/relationships" ref="M42" ns36:id="rId38"/>
    <x:hyperlink xmlns:ns37="http://schemas.openxmlformats.org/officeDocument/2006/relationships" ref="M43" ns37:id="rId39"/>
    <x:hyperlink xmlns:ns38="http://schemas.openxmlformats.org/officeDocument/2006/relationships" ref="M44" ns38:id="rId40"/>
    <x:hyperlink xmlns:ns39="http://schemas.openxmlformats.org/officeDocument/2006/relationships" ref="M45" ns39:id="rId41"/>
    <x:hyperlink xmlns:ns40="http://schemas.openxmlformats.org/officeDocument/2006/relationships" ref="M46" ns40:id="rId42"/>
    <x:hyperlink xmlns:ns41="http://schemas.openxmlformats.org/officeDocument/2006/relationships" ref="M47" ns41:id="rId43"/>
    <x:hyperlink xmlns:ns42="http://schemas.openxmlformats.org/officeDocument/2006/relationships" ref="M48" ns42:id="rId44"/>
    <x:hyperlink xmlns:ns43="http://schemas.openxmlformats.org/officeDocument/2006/relationships" ref="M49" ns43:id="rId45"/>
    <x:hyperlink xmlns:ns44="http://schemas.openxmlformats.org/officeDocument/2006/relationships" ref="M50" ns44:id="rId46"/>
    <x:hyperlink xmlns:ns45="http://schemas.openxmlformats.org/officeDocument/2006/relationships" ref="M51" ns45:id="rId47"/>
    <x:hyperlink xmlns:ns46="http://schemas.openxmlformats.org/officeDocument/2006/relationships" ref="M52" ns46:id="rId48"/>
    <x:hyperlink xmlns:ns47="http://schemas.openxmlformats.org/officeDocument/2006/relationships" ref="M53" ns47:id="rId49"/>
    <x:hyperlink xmlns:ns48="http://schemas.openxmlformats.org/officeDocument/2006/relationships" ref="M54" ns48:id="rId50"/>
    <x:hyperlink xmlns:ns49="http://schemas.openxmlformats.org/officeDocument/2006/relationships" ref="M55" ns49:id="rId51"/>
    <x:hyperlink xmlns:ns50="http://schemas.openxmlformats.org/officeDocument/2006/relationships" ref="M56" ns50:id="rId52"/>
    <x:hyperlink xmlns:ns51="http://schemas.openxmlformats.org/officeDocument/2006/relationships" ref="M57" ns51:id="rId53"/>
    <x:hyperlink xmlns:ns52="http://schemas.openxmlformats.org/officeDocument/2006/relationships" ref="M58" ns52:id="rId54"/>
    <x:hyperlink xmlns:ns53="http://schemas.openxmlformats.org/officeDocument/2006/relationships" ref="M59" ns53:id="rId55"/>
    <x:hyperlink xmlns:ns54="http://schemas.openxmlformats.org/officeDocument/2006/relationships" ref="M60" ns54:id="rId56"/>
    <x:hyperlink xmlns:ns55="http://schemas.openxmlformats.org/officeDocument/2006/relationships" ref="M61" ns55:id="rId57"/>
    <x:hyperlink xmlns:ns56="http://schemas.openxmlformats.org/officeDocument/2006/relationships" ref="M62" ns56:id="rId58"/>
    <x:hyperlink xmlns:ns57="http://schemas.openxmlformats.org/officeDocument/2006/relationships" ref="M63" ns57:id="rId59"/>
    <x:hyperlink xmlns:ns58="http://schemas.openxmlformats.org/officeDocument/2006/relationships" ref="M64" ns58:id="rId60"/>
    <x:hyperlink xmlns:ns59="http://schemas.openxmlformats.org/officeDocument/2006/relationships" ref="M65" ns59:id="rId61"/>
    <x:hyperlink xmlns:ns60="http://schemas.openxmlformats.org/officeDocument/2006/relationships" ref="M66" ns60:id="rId62"/>
    <x:hyperlink xmlns:ns61="http://schemas.openxmlformats.org/officeDocument/2006/relationships" ref="M67" ns61:id="rId63"/>
    <x:hyperlink xmlns:ns62="http://schemas.openxmlformats.org/officeDocument/2006/relationships" ref="M68" ns62:id="rId64"/>
    <x:hyperlink xmlns:ns63="http://schemas.openxmlformats.org/officeDocument/2006/relationships" ref="M69" ns63:id="rId65"/>
    <x:hyperlink xmlns:ns64="http://schemas.openxmlformats.org/officeDocument/2006/relationships" ref="M70" ns64:id="rId66"/>
    <x:hyperlink xmlns:ns65="http://schemas.openxmlformats.org/officeDocument/2006/relationships" ref="M71" ns65:id="rId67"/>
    <x:hyperlink xmlns:ns66="http://schemas.openxmlformats.org/officeDocument/2006/relationships" ref="M72" ns66:id="rId68"/>
    <x:hyperlink xmlns:ns67="http://schemas.openxmlformats.org/officeDocument/2006/relationships" ref="M73" ns67:id="rId69"/>
    <x:hyperlink xmlns:ns68="http://schemas.openxmlformats.org/officeDocument/2006/relationships" ref="M74" ns68:id="rId70"/>
    <x:hyperlink xmlns:ns69="http://schemas.openxmlformats.org/officeDocument/2006/relationships" ref="M75" ns69:id="rId71"/>
    <x:hyperlink xmlns:ns70="http://schemas.openxmlformats.org/officeDocument/2006/relationships" ref="M76" ns70:id="rId72"/>
    <x:hyperlink xmlns:ns71="http://schemas.openxmlformats.org/officeDocument/2006/relationships" ref="M77" ns71:id="rId73"/>
    <x:hyperlink xmlns:ns72="http://schemas.openxmlformats.org/officeDocument/2006/relationships" ref="M78" ns72:id="rId74"/>
    <x:hyperlink xmlns:ns73="http://schemas.openxmlformats.org/officeDocument/2006/relationships" ref="M79" ns73:id="rId75"/>
    <x:hyperlink xmlns:ns74="http://schemas.openxmlformats.org/officeDocument/2006/relationships" ref="M80" ns74:id="rId76"/>
    <x:hyperlink xmlns:ns75="http://schemas.openxmlformats.org/officeDocument/2006/relationships" ref="M81" ns75:id="rId77"/>
    <x:hyperlink xmlns:ns76="http://schemas.openxmlformats.org/officeDocument/2006/relationships" ref="M82" ns76:id="rId78"/>
    <x:hyperlink xmlns:ns77="http://schemas.openxmlformats.org/officeDocument/2006/relationships" ref="M83" ns77:id="rId79"/>
    <x:hyperlink xmlns:ns78="http://schemas.openxmlformats.org/officeDocument/2006/relationships" ref="M84" ns78:id="rId80"/>
    <x:hyperlink xmlns:ns79="http://schemas.openxmlformats.org/officeDocument/2006/relationships" ref="M85" ns79:id="rId81"/>
    <x:hyperlink xmlns:ns80="http://schemas.openxmlformats.org/officeDocument/2006/relationships" ref="M86" ns80:id="rId82"/>
    <x:hyperlink xmlns:ns81="http://schemas.openxmlformats.org/officeDocument/2006/relationships" ref="M87" ns81:id="rId83"/>
    <x:hyperlink xmlns:ns82="http://schemas.openxmlformats.org/officeDocument/2006/relationships" ref="M88" ns82:id="rId84"/>
    <x:hyperlink xmlns:ns83="http://schemas.openxmlformats.org/officeDocument/2006/relationships" ref="M89" ns83:id="rId85"/>
    <x:hyperlink xmlns:ns84="http://schemas.openxmlformats.org/officeDocument/2006/relationships" ref="M90" ns84:id="rId86"/>
    <x:hyperlink xmlns:ns85="http://schemas.openxmlformats.org/officeDocument/2006/relationships" ref="M91" ns85:id="rId87"/>
    <x:hyperlink xmlns:ns86="http://schemas.openxmlformats.org/officeDocument/2006/relationships" ref="M92" ns86:id="rId88"/>
    <x:hyperlink xmlns:ns87="http://schemas.openxmlformats.org/officeDocument/2006/relationships" ref="M93" ns87:id="rId89"/>
    <x:hyperlink xmlns:ns88="http://schemas.openxmlformats.org/officeDocument/2006/relationships" ref="M94" ns88:id="rId90"/>
    <x:hyperlink xmlns:ns89="http://schemas.openxmlformats.org/officeDocument/2006/relationships" ref="M95" ns89:id="rId91"/>
    <x:hyperlink xmlns:ns90="http://schemas.openxmlformats.org/officeDocument/2006/relationships" ref="M96" ns90:id="rId92"/>
    <x:hyperlink xmlns:ns91="http://schemas.openxmlformats.org/officeDocument/2006/relationships" ref="M97" ns91:id="rId93"/>
    <x:hyperlink xmlns:ns92="http://schemas.openxmlformats.org/officeDocument/2006/relationships" ref="M98" ns92:id="rId94"/>
    <x:hyperlink xmlns:ns93="http://schemas.openxmlformats.org/officeDocument/2006/relationships" ref="M99" ns93:id="rId95"/>
    <x:hyperlink xmlns:ns94="http://schemas.openxmlformats.org/officeDocument/2006/relationships" ref="M100" ns94:id="rId96"/>
    <x:hyperlink xmlns:ns95="http://schemas.openxmlformats.org/officeDocument/2006/relationships" ref="M101" ns95:id="rId97"/>
    <x:hyperlink xmlns:ns96="http://schemas.openxmlformats.org/officeDocument/2006/relationships" ref="M102" ns96:id="rId98"/>
    <x:hyperlink xmlns:ns97="http://schemas.openxmlformats.org/officeDocument/2006/relationships" ref="M103" ns97:id="rId99"/>
    <x:hyperlink xmlns:ns98="http://schemas.openxmlformats.org/officeDocument/2006/relationships" ref="M104" ns98:id="rId100"/>
    <x:hyperlink xmlns:ns99="http://schemas.openxmlformats.org/officeDocument/2006/relationships" ref="M105" ns99:id="rId101"/>
    <x:hyperlink xmlns:ns100="http://schemas.openxmlformats.org/officeDocument/2006/relationships" ref="M106" ns100:id="rId102"/>
    <x:hyperlink xmlns:ns101="http://schemas.openxmlformats.org/officeDocument/2006/relationships" ref="M107" ns101:id="rId103"/>
    <x:hyperlink xmlns:ns102="http://schemas.openxmlformats.org/officeDocument/2006/relationships" ref="M108" ns102:id="rId104"/>
    <x:hyperlink xmlns:ns103="http://schemas.openxmlformats.org/officeDocument/2006/relationships" ref="M109" ns103:id="rId105"/>
    <x:hyperlink xmlns:ns104="http://schemas.openxmlformats.org/officeDocument/2006/relationships" ref="M110" ns104:id="rId106"/>
    <x:hyperlink xmlns:ns105="http://schemas.openxmlformats.org/officeDocument/2006/relationships" ref="M111" ns105:id="rId107"/>
    <x:hyperlink xmlns:ns106="http://schemas.openxmlformats.org/officeDocument/2006/relationships" ref="M112" ns106:id="rId108"/>
    <x:hyperlink xmlns:ns107="http://schemas.openxmlformats.org/officeDocument/2006/relationships" ref="M113" ns107:id="rId109"/>
    <x:hyperlink xmlns:ns108="http://schemas.openxmlformats.org/officeDocument/2006/relationships" ref="M114" ns108:id="rId110"/>
    <x:hyperlink xmlns:ns109="http://schemas.openxmlformats.org/officeDocument/2006/relationships" ref="M115" ns109:id="rId111"/>
    <x:hyperlink xmlns:ns110="http://schemas.openxmlformats.org/officeDocument/2006/relationships" ref="M116" ns110:id="rId112"/>
    <x:hyperlink xmlns:ns111="http://schemas.openxmlformats.org/officeDocument/2006/relationships" ref="M117" ns111:id="rId113"/>
    <x:hyperlink xmlns:ns112="http://schemas.openxmlformats.org/officeDocument/2006/relationships" ref="M118" ns112:id="rId114"/>
    <x:hyperlink xmlns:ns113="http://schemas.openxmlformats.org/officeDocument/2006/relationships" ref="M119" ns113:id="rId115"/>
    <x:hyperlink xmlns:ns114="http://schemas.openxmlformats.org/officeDocument/2006/relationships" ref="M120" ns114:id="rId116"/>
    <x:hyperlink xmlns:ns115="http://schemas.openxmlformats.org/officeDocument/2006/relationships" ref="M121" ns115:id="rId117"/>
    <x:hyperlink xmlns:ns116="http://schemas.openxmlformats.org/officeDocument/2006/relationships" ref="M122" ns116:id="rId118"/>
    <x:hyperlink xmlns:ns117="http://schemas.openxmlformats.org/officeDocument/2006/relationships" ref="M123" ns117:id="rId119"/>
    <x:hyperlink xmlns:ns118="http://schemas.openxmlformats.org/officeDocument/2006/relationships" ref="M124" ns118:id="rId120"/>
    <x:hyperlink xmlns:ns119="http://schemas.openxmlformats.org/officeDocument/2006/relationships" ref="M125" ns119:id="rId121"/>
    <x:hyperlink xmlns:ns120="http://schemas.openxmlformats.org/officeDocument/2006/relationships" ref="M126" ns120:id="rId122"/>
    <x:hyperlink xmlns:ns121="http://schemas.openxmlformats.org/officeDocument/2006/relationships" ref="M127" ns121:id="rId123"/>
    <x:hyperlink xmlns:ns122="http://schemas.openxmlformats.org/officeDocument/2006/relationships" ref="M128" ns122:id="rId124"/>
    <x:hyperlink xmlns:ns123="http://schemas.openxmlformats.org/officeDocument/2006/relationships" ref="M129" ns123:id="rId125"/>
    <x:hyperlink xmlns:ns124="http://schemas.openxmlformats.org/officeDocument/2006/relationships" ref="M130" ns124:id="rId126"/>
    <x:hyperlink xmlns:ns125="http://schemas.openxmlformats.org/officeDocument/2006/relationships" ref="M131" ns125:id="rId127"/>
    <x:hyperlink xmlns:ns126="http://schemas.openxmlformats.org/officeDocument/2006/relationships" ref="M132" ns126:id="rId128"/>
    <x:hyperlink xmlns:ns127="http://schemas.openxmlformats.org/officeDocument/2006/relationships" ref="M133" ns127:id="rId129"/>
    <x:hyperlink xmlns:ns128="http://schemas.openxmlformats.org/officeDocument/2006/relationships" ref="M134" ns128:id="rId130"/>
    <x:hyperlink xmlns:ns129="http://schemas.openxmlformats.org/officeDocument/2006/relationships" ref="M135" ns129:id="rId131"/>
    <x:hyperlink xmlns:ns130="http://schemas.openxmlformats.org/officeDocument/2006/relationships" ref="M136" ns130:id="rId132"/>
    <x:hyperlink xmlns:ns131="http://schemas.openxmlformats.org/officeDocument/2006/relationships" ref="M137" ns131:id="rId133"/>
    <x:hyperlink xmlns:ns132="http://schemas.openxmlformats.org/officeDocument/2006/relationships" ref="M138" ns132:id="rId134"/>
    <x:hyperlink xmlns:ns133="http://schemas.openxmlformats.org/officeDocument/2006/relationships" ref="M139" ns133:id="rId135"/>
    <x:hyperlink xmlns:ns134="http://schemas.openxmlformats.org/officeDocument/2006/relationships" ref="M140" ns134:id="rId136"/>
    <x:hyperlink xmlns:ns135="http://schemas.openxmlformats.org/officeDocument/2006/relationships" ref="M141" ns135:id="rId137"/>
    <x:hyperlink xmlns:ns136="http://schemas.openxmlformats.org/officeDocument/2006/relationships" ref="M142" ns136:id="rId138"/>
    <x:hyperlink xmlns:ns137="http://schemas.openxmlformats.org/officeDocument/2006/relationships" ref="M143" ns137:id="rId139"/>
    <x:hyperlink xmlns:ns138="http://schemas.openxmlformats.org/officeDocument/2006/relationships" ref="M144" ns138:id="rId140"/>
    <x:hyperlink xmlns:ns139="http://schemas.openxmlformats.org/officeDocument/2006/relationships" ref="M145" ns139:id="rId141"/>
    <x:hyperlink xmlns:ns140="http://schemas.openxmlformats.org/officeDocument/2006/relationships" ref="M146" ns140:id="rId142"/>
    <x:hyperlink xmlns:ns141="http://schemas.openxmlformats.org/officeDocument/2006/relationships" ref="M147" ns141:id="rId143"/>
    <x:hyperlink xmlns:ns142="http://schemas.openxmlformats.org/officeDocument/2006/relationships" ref="M148" ns142:id="rId144"/>
    <x:hyperlink xmlns:ns143="http://schemas.openxmlformats.org/officeDocument/2006/relationships" ref="M149" ns143:id="rId145"/>
    <x:hyperlink xmlns:ns144="http://schemas.openxmlformats.org/officeDocument/2006/relationships" ref="M150" ns144:id="rId146"/>
    <x:hyperlink xmlns:ns145="http://schemas.openxmlformats.org/officeDocument/2006/relationships" ref="M151" ns145:id="rId147"/>
    <x:hyperlink xmlns:ns146="http://schemas.openxmlformats.org/officeDocument/2006/relationships" ref="M152" ns146:id="rId148"/>
    <x:hyperlink xmlns:ns147="http://schemas.openxmlformats.org/officeDocument/2006/relationships" ref="M153" ns147:id="rId149"/>
    <x:hyperlink xmlns:ns148="http://schemas.openxmlformats.org/officeDocument/2006/relationships" ref="M154" ns148:id="rId150"/>
    <x:hyperlink xmlns:ns149="http://schemas.openxmlformats.org/officeDocument/2006/relationships" ref="M155" ns149:id="rId151"/>
    <x:hyperlink xmlns:ns150="http://schemas.openxmlformats.org/officeDocument/2006/relationships" ref="M156" ns150:id="rId152"/>
    <x:hyperlink xmlns:ns151="http://schemas.openxmlformats.org/officeDocument/2006/relationships" ref="M157" ns151:id="rId153"/>
    <x:hyperlink xmlns:ns152="http://schemas.openxmlformats.org/officeDocument/2006/relationships" ref="M158" ns152:id="rId154"/>
    <x:hyperlink xmlns:ns153="http://schemas.openxmlformats.org/officeDocument/2006/relationships" ref="M159" ns153:id="rId155"/>
    <x:hyperlink xmlns:ns154="http://schemas.openxmlformats.org/officeDocument/2006/relationships" ref="M160" ns154:id="rId156"/>
    <x:hyperlink xmlns:ns155="http://schemas.openxmlformats.org/officeDocument/2006/relationships" ref="M161" ns155:id="rId157"/>
    <x:hyperlink xmlns:ns156="http://schemas.openxmlformats.org/officeDocument/2006/relationships" ref="M162" ns156:id="rId158"/>
    <x:hyperlink xmlns:ns157="http://schemas.openxmlformats.org/officeDocument/2006/relationships" ref="M163" ns157:id="rId159"/>
    <x:hyperlink xmlns:ns158="http://schemas.openxmlformats.org/officeDocument/2006/relationships" ref="M164" ns158:id="rId160"/>
    <x:hyperlink xmlns:ns159="http://schemas.openxmlformats.org/officeDocument/2006/relationships" ref="M165" ns159:id="rId161"/>
    <x:hyperlink xmlns:ns160="http://schemas.openxmlformats.org/officeDocument/2006/relationships" ref="M166" ns160:id="rId162"/>
    <x:hyperlink xmlns:ns161="http://schemas.openxmlformats.org/officeDocument/2006/relationships" ref="M167" ns161:id="rId163"/>
    <x:hyperlink xmlns:ns162="http://schemas.openxmlformats.org/officeDocument/2006/relationships" ref="M168" ns162:id="rId164"/>
    <x:hyperlink xmlns:ns163="http://schemas.openxmlformats.org/officeDocument/2006/relationships" ref="M169" ns163:id="rId165"/>
    <x:hyperlink xmlns:ns164="http://schemas.openxmlformats.org/officeDocument/2006/relationships" ref="M170" ns164:id="rId166"/>
    <x:hyperlink xmlns:ns165="http://schemas.openxmlformats.org/officeDocument/2006/relationships" ref="M171" ns165:id="rId167"/>
    <x:hyperlink xmlns:ns166="http://schemas.openxmlformats.org/officeDocument/2006/relationships" ref="M172" ns166:id="rId168"/>
    <x:hyperlink xmlns:ns167="http://schemas.openxmlformats.org/officeDocument/2006/relationships" ref="M173" ns167:id="rId169"/>
    <x:hyperlink xmlns:ns168="http://schemas.openxmlformats.org/officeDocument/2006/relationships" ref="M174" ns168:id="rId170"/>
    <x:hyperlink xmlns:ns169="http://schemas.openxmlformats.org/officeDocument/2006/relationships" ref="M175" ns169:id="rId171"/>
    <x:hyperlink xmlns:ns170="http://schemas.openxmlformats.org/officeDocument/2006/relationships" ref="M176" ns170:id="rId172"/>
    <x:hyperlink xmlns:ns171="http://schemas.openxmlformats.org/officeDocument/2006/relationships" ref="M177" ns171:id="rId173"/>
    <x:hyperlink xmlns:ns172="http://schemas.openxmlformats.org/officeDocument/2006/relationships" ref="M178" ns172:id="rId174"/>
    <x:hyperlink xmlns:ns173="http://schemas.openxmlformats.org/officeDocument/2006/relationships" ref="M179" ns173:id="rId175"/>
    <x:hyperlink xmlns:ns174="http://schemas.openxmlformats.org/officeDocument/2006/relationships" ref="M180" ns174:id="rId176"/>
    <x:hyperlink xmlns:ns175="http://schemas.openxmlformats.org/officeDocument/2006/relationships" ref="M181" ns175:id="rId177"/>
    <x:hyperlink xmlns:ns176="http://schemas.openxmlformats.org/officeDocument/2006/relationships" ref="M182" ns176:id="rId178"/>
    <x:hyperlink xmlns:ns177="http://schemas.openxmlformats.org/officeDocument/2006/relationships" ref="M183" ns177:id="rId179"/>
    <x:hyperlink xmlns:ns178="http://schemas.openxmlformats.org/officeDocument/2006/relationships" ref="M184" ns178:id="rId180"/>
    <x:hyperlink xmlns:ns179="http://schemas.openxmlformats.org/officeDocument/2006/relationships" ref="M185" ns179:id="rId181"/>
    <x:hyperlink xmlns:ns180="http://schemas.openxmlformats.org/officeDocument/2006/relationships" ref="M186" ns180:id="rId182"/>
    <x:hyperlink xmlns:ns181="http://schemas.openxmlformats.org/officeDocument/2006/relationships" ref="M187" ns181:id="rId183"/>
    <x:hyperlink xmlns:ns182="http://schemas.openxmlformats.org/officeDocument/2006/relationships" ref="M188" ns182:id="rId184"/>
    <x:hyperlink xmlns:ns183="http://schemas.openxmlformats.org/officeDocument/2006/relationships" ref="M189" ns183:id="rId185"/>
    <x:hyperlink xmlns:ns184="http://schemas.openxmlformats.org/officeDocument/2006/relationships" ref="M190" ns184:id="rId186"/>
    <x:hyperlink xmlns:ns185="http://schemas.openxmlformats.org/officeDocument/2006/relationships" ref="M191" ns185:id="rId187"/>
    <x:hyperlink xmlns:ns186="http://schemas.openxmlformats.org/officeDocument/2006/relationships" ref="M192" ns186:id="rId188"/>
    <x:hyperlink xmlns:ns187="http://schemas.openxmlformats.org/officeDocument/2006/relationships" ref="M193" ns187:id="rId189"/>
    <x:hyperlink xmlns:ns188="http://schemas.openxmlformats.org/officeDocument/2006/relationships" ref="M194" ns188:id="rId190"/>
    <x:hyperlink xmlns:ns189="http://schemas.openxmlformats.org/officeDocument/2006/relationships" ref="M195" ns189:id="rId191"/>
    <x:hyperlink xmlns:ns190="http://schemas.openxmlformats.org/officeDocument/2006/relationships" ref="M196" ns190:id="rId192"/>
    <x:hyperlink xmlns:ns191="http://schemas.openxmlformats.org/officeDocument/2006/relationships" ref="M197" ns191:id="rId193"/>
    <x:hyperlink xmlns:ns192="http://schemas.openxmlformats.org/officeDocument/2006/relationships" ref="M198" ns192:id="rId194"/>
    <x:hyperlink xmlns:ns193="http://schemas.openxmlformats.org/officeDocument/2006/relationships" ref="M199" ns193:id="rId195"/>
    <x:hyperlink xmlns:ns194="http://schemas.openxmlformats.org/officeDocument/2006/relationships" ref="M200" ns194:id="rId196"/>
    <x:hyperlink xmlns:ns195="http://schemas.openxmlformats.org/officeDocument/2006/relationships" ref="M201" ns195:id="rId197"/>
    <x:hyperlink xmlns:ns196="http://schemas.openxmlformats.org/officeDocument/2006/relationships" ref="M202" ns196:id="rId198"/>
    <x:hyperlink xmlns:ns197="http://schemas.openxmlformats.org/officeDocument/2006/relationships" ref="M203" ns197:id="rId199"/>
    <x:hyperlink xmlns:ns198="http://schemas.openxmlformats.org/officeDocument/2006/relationships" ref="M204" ns198:id="rId200"/>
    <x:hyperlink xmlns:ns199="http://schemas.openxmlformats.org/officeDocument/2006/relationships" ref="M205" ns199:id="rId201"/>
    <x:hyperlink xmlns:ns200="http://schemas.openxmlformats.org/officeDocument/2006/relationships" ref="M206" ns200:id="rId202"/>
    <x:hyperlink xmlns:ns201="http://schemas.openxmlformats.org/officeDocument/2006/relationships" ref="M207" ns201:id="rId203"/>
    <x:hyperlink xmlns:ns202="http://schemas.openxmlformats.org/officeDocument/2006/relationships" ref="M208" ns202:id="rId204"/>
    <x:hyperlink xmlns:ns203="http://schemas.openxmlformats.org/officeDocument/2006/relationships" ref="M209" ns203:id="rId205"/>
    <x:hyperlink xmlns:ns204="http://schemas.openxmlformats.org/officeDocument/2006/relationships" ref="M210" ns204:id="rId206"/>
    <x:hyperlink xmlns:ns205="http://schemas.openxmlformats.org/officeDocument/2006/relationships" ref="M211" ns205:id="rId207"/>
    <x:hyperlink xmlns:ns206="http://schemas.openxmlformats.org/officeDocument/2006/relationships" ref="M212" ns206:id="rId208"/>
    <x:hyperlink xmlns:ns207="http://schemas.openxmlformats.org/officeDocument/2006/relationships" ref="M213" ns207:id="rId209"/>
    <x:hyperlink xmlns:ns208="http://schemas.openxmlformats.org/officeDocument/2006/relationships" ref="M214" ns208:id="rId210"/>
    <x:hyperlink xmlns:ns209="http://schemas.openxmlformats.org/officeDocument/2006/relationships" ref="M215" ns209:id="rId211"/>
    <x:hyperlink xmlns:ns210="http://schemas.openxmlformats.org/officeDocument/2006/relationships" ref="M216" ns210:id="rId212"/>
    <x:hyperlink xmlns:ns211="http://schemas.openxmlformats.org/officeDocument/2006/relationships" ref="M217" ns211:id="rId213"/>
    <x:hyperlink xmlns:ns212="http://schemas.openxmlformats.org/officeDocument/2006/relationships" ref="M218" ns212:id="rId214"/>
    <x:hyperlink xmlns:ns213="http://schemas.openxmlformats.org/officeDocument/2006/relationships" ref="M219" ns213:id="rId215"/>
    <x:hyperlink xmlns:ns214="http://schemas.openxmlformats.org/officeDocument/2006/relationships" ref="M220" ns214:id="rId216"/>
    <x:hyperlink xmlns:ns215="http://schemas.openxmlformats.org/officeDocument/2006/relationships" ref="M221" ns215:id="rId217"/>
    <x:hyperlink xmlns:ns216="http://schemas.openxmlformats.org/officeDocument/2006/relationships" ref="M222" ns216:id="rId218"/>
    <x:hyperlink xmlns:ns217="http://schemas.openxmlformats.org/officeDocument/2006/relationships" ref="M223" ns217:id="rId219"/>
    <x:hyperlink xmlns:ns218="http://schemas.openxmlformats.org/officeDocument/2006/relationships" ref="M224" ns218:id="rId220"/>
    <x:hyperlink xmlns:ns219="http://schemas.openxmlformats.org/officeDocument/2006/relationships" ref="M225" ns219:id="rId221"/>
    <x:hyperlink xmlns:ns220="http://schemas.openxmlformats.org/officeDocument/2006/relationships" ref="M226" ns220:id="rId222"/>
    <x:hyperlink xmlns:ns221="http://schemas.openxmlformats.org/officeDocument/2006/relationships" ref="M227" ns221:id="rId223"/>
    <x:hyperlink xmlns:ns222="http://schemas.openxmlformats.org/officeDocument/2006/relationships" ref="M228" ns222:id="rId224"/>
    <x:hyperlink xmlns:ns223="http://schemas.openxmlformats.org/officeDocument/2006/relationships" ref="M229" ns223:id="rId225"/>
    <x:hyperlink xmlns:ns224="http://schemas.openxmlformats.org/officeDocument/2006/relationships" ref="M230" ns224:id="rId226"/>
    <x:hyperlink xmlns:ns225="http://schemas.openxmlformats.org/officeDocument/2006/relationships" ref="M231" ns225:id="rId227"/>
    <x:hyperlink xmlns:ns226="http://schemas.openxmlformats.org/officeDocument/2006/relationships" ref="M232" ns226:id="rId228"/>
    <x:hyperlink xmlns:ns227="http://schemas.openxmlformats.org/officeDocument/2006/relationships" ref="M233" ns227:id="rId229"/>
    <x:hyperlink xmlns:ns228="http://schemas.openxmlformats.org/officeDocument/2006/relationships" ref="M234" ns228:id="rId230"/>
    <x:hyperlink xmlns:ns229="http://schemas.openxmlformats.org/officeDocument/2006/relationships" ref="M235" ns229:id="rId231"/>
    <x:hyperlink xmlns:ns230="http://schemas.openxmlformats.org/officeDocument/2006/relationships" ref="M236" ns230:id="rId232"/>
    <x:hyperlink xmlns:ns231="http://schemas.openxmlformats.org/officeDocument/2006/relationships" ref="M237" ns231:id="rId233"/>
    <x:hyperlink xmlns:ns232="http://schemas.openxmlformats.org/officeDocument/2006/relationships" ref="M238" ns232:id="rId234"/>
    <x:hyperlink xmlns:ns233="http://schemas.openxmlformats.org/officeDocument/2006/relationships" ref="M239" ns233:id="rId235"/>
    <x:hyperlink xmlns:ns234="http://schemas.openxmlformats.org/officeDocument/2006/relationships" ref="M240" ns234:id="rId236"/>
    <x:hyperlink xmlns:ns235="http://schemas.openxmlformats.org/officeDocument/2006/relationships" ref="M241" ns235:id="rId237"/>
    <x:hyperlink xmlns:ns236="http://schemas.openxmlformats.org/officeDocument/2006/relationships" ref="M242" ns236:id="rId238"/>
    <x:hyperlink xmlns:ns237="http://schemas.openxmlformats.org/officeDocument/2006/relationships" ref="M243" ns237:id="rId239"/>
    <x:hyperlink xmlns:ns238="http://schemas.openxmlformats.org/officeDocument/2006/relationships" ref="M244" ns238:id="rId240"/>
    <x:hyperlink xmlns:ns239="http://schemas.openxmlformats.org/officeDocument/2006/relationships" ref="M245" ns239:id="rId241"/>
    <x:hyperlink xmlns:ns240="http://schemas.openxmlformats.org/officeDocument/2006/relationships" ref="M246" ns240:id="rId242"/>
    <x:hyperlink xmlns:ns241="http://schemas.openxmlformats.org/officeDocument/2006/relationships" ref="M247" ns241:id="rId243"/>
    <x:hyperlink xmlns:ns242="http://schemas.openxmlformats.org/officeDocument/2006/relationships" ref="M248" ns242:id="rId244"/>
    <x:hyperlink xmlns:ns243="http://schemas.openxmlformats.org/officeDocument/2006/relationships" ref="M249" ns243:id="rId245"/>
    <x:hyperlink xmlns:ns244="http://schemas.openxmlformats.org/officeDocument/2006/relationships" ref="M250" ns244:id="rId246"/>
    <x:hyperlink xmlns:ns245="http://schemas.openxmlformats.org/officeDocument/2006/relationships" ref="M251" ns245:id="rId247"/>
    <x:hyperlink xmlns:ns246="http://schemas.openxmlformats.org/officeDocument/2006/relationships" ref="M252" ns246:id="rId248"/>
    <x:hyperlink xmlns:ns247="http://schemas.openxmlformats.org/officeDocument/2006/relationships" ref="M253" ns247:id="rId249"/>
    <x:hyperlink xmlns:ns248="http://schemas.openxmlformats.org/officeDocument/2006/relationships" ref="M254" ns248:id="rId250"/>
    <x:hyperlink xmlns:ns249="http://schemas.openxmlformats.org/officeDocument/2006/relationships" ref="M255" ns249:id="rId251"/>
    <x:hyperlink xmlns:ns250="http://schemas.openxmlformats.org/officeDocument/2006/relationships" ref="N255" ns250:id="rId252"/>
    <x:hyperlink xmlns:ns251="http://schemas.openxmlformats.org/officeDocument/2006/relationships" ref="M256" ns251:id="rId253"/>
    <x:hyperlink xmlns:ns252="http://schemas.openxmlformats.org/officeDocument/2006/relationships" ref="N256" ns252:id="rId254"/>
    <x:hyperlink xmlns:ns253="http://schemas.openxmlformats.org/officeDocument/2006/relationships" ref="M257" ns253:id="rId255"/>
    <x:hyperlink xmlns:ns254="http://schemas.openxmlformats.org/officeDocument/2006/relationships" ref="N257" ns254:id="rId256"/>
    <x:hyperlink xmlns:ns255="http://schemas.openxmlformats.org/officeDocument/2006/relationships" ref="M258" ns255:id="rId257"/>
    <x:hyperlink xmlns:ns256="http://schemas.openxmlformats.org/officeDocument/2006/relationships" ref="N258" ns256:id="rId258"/>
    <x:hyperlink xmlns:ns257="http://schemas.openxmlformats.org/officeDocument/2006/relationships" ref="M259" ns257:id="rId259"/>
    <x:hyperlink xmlns:ns258="http://schemas.openxmlformats.org/officeDocument/2006/relationships" ref="N259" ns258:id="rId260"/>
    <x:hyperlink xmlns:ns259="http://schemas.openxmlformats.org/officeDocument/2006/relationships" ref="M260" ns259:id="rId261"/>
    <x:hyperlink xmlns:ns260="http://schemas.openxmlformats.org/officeDocument/2006/relationships" ref="N260" ns260:id="rId262"/>
    <x:hyperlink xmlns:ns261="http://schemas.openxmlformats.org/officeDocument/2006/relationships" ref="M261" ns261:id="rId263"/>
    <x:hyperlink xmlns:ns262="http://schemas.openxmlformats.org/officeDocument/2006/relationships" ref="N261" ns262:id="rId264"/>
    <x:hyperlink xmlns:ns263="http://schemas.openxmlformats.org/officeDocument/2006/relationships" ref="M262" ns263:id="rId265"/>
    <x:hyperlink xmlns:ns264="http://schemas.openxmlformats.org/officeDocument/2006/relationships" ref="N262" ns264:id="rId266"/>
    <x:hyperlink xmlns:ns265="http://schemas.openxmlformats.org/officeDocument/2006/relationships" ref="M263" ns265:id="rId267"/>
    <x:hyperlink xmlns:ns266="http://schemas.openxmlformats.org/officeDocument/2006/relationships" ref="N263" ns266:id="rId268"/>
    <x:hyperlink xmlns:ns267="http://schemas.openxmlformats.org/officeDocument/2006/relationships" ref="M264" ns267:id="rId269"/>
    <x:hyperlink xmlns:ns268="http://schemas.openxmlformats.org/officeDocument/2006/relationships" ref="M265" ns268:id="rId270"/>
    <x:hyperlink xmlns:ns269="http://schemas.openxmlformats.org/officeDocument/2006/relationships" ref="M266" ns269:id="rId271"/>
    <x:hyperlink xmlns:ns270="http://schemas.openxmlformats.org/officeDocument/2006/relationships" ref="M267" ns270:id="rId272"/>
    <x:hyperlink xmlns:ns271="http://schemas.openxmlformats.org/officeDocument/2006/relationships" ref="M268" ns271:id="rId273"/>
    <x:hyperlink xmlns:ns272="http://schemas.openxmlformats.org/officeDocument/2006/relationships" ref="M269" ns272:id="rId274"/>
    <x:hyperlink xmlns:ns273="http://schemas.openxmlformats.org/officeDocument/2006/relationships" ref="M270" ns273:id="rId275"/>
    <x:hyperlink xmlns:ns274="http://schemas.openxmlformats.org/officeDocument/2006/relationships" ref="M271" ns274:id="rId276"/>
    <x:hyperlink xmlns:ns275="http://schemas.openxmlformats.org/officeDocument/2006/relationships" ref="M272" ns275:id="rId277"/>
    <x:hyperlink xmlns:ns276="http://schemas.openxmlformats.org/officeDocument/2006/relationships" ref="M273" ns276:id="rId278"/>
    <x:hyperlink xmlns:ns277="http://schemas.openxmlformats.org/officeDocument/2006/relationships" ref="M274" ns277:id="rId279"/>
    <x:hyperlink xmlns:ns278="http://schemas.openxmlformats.org/officeDocument/2006/relationships" ref="M275" ns278:id="rId280"/>
    <x:hyperlink xmlns:ns279="http://schemas.openxmlformats.org/officeDocument/2006/relationships" ref="M276" ns279:id="rId281"/>
    <x:hyperlink xmlns:ns280="http://schemas.openxmlformats.org/officeDocument/2006/relationships" ref="M277" ns280:id="rId282"/>
    <x:hyperlink xmlns:ns281="http://schemas.openxmlformats.org/officeDocument/2006/relationships" ref="M278" ns281:id="rId283"/>
    <x:hyperlink xmlns:ns282="http://schemas.openxmlformats.org/officeDocument/2006/relationships" ref="M279" ns282:id="rId284"/>
    <x:hyperlink xmlns:ns283="http://schemas.openxmlformats.org/officeDocument/2006/relationships" ref="M280" ns283:id="rId285"/>
    <x:hyperlink xmlns:ns284="http://schemas.openxmlformats.org/officeDocument/2006/relationships" ref="M281" ns284:id="rId286"/>
    <x:hyperlink xmlns:ns285="http://schemas.openxmlformats.org/officeDocument/2006/relationships" ref="M282" ns285:id="rId287"/>
    <x:hyperlink xmlns:ns286="http://schemas.openxmlformats.org/officeDocument/2006/relationships" ref="M283" ns286:id="rId288"/>
    <x:hyperlink xmlns:ns287="http://schemas.openxmlformats.org/officeDocument/2006/relationships" ref="M284" ns287:id="rId289"/>
    <x:hyperlink xmlns:ns288="http://schemas.openxmlformats.org/officeDocument/2006/relationships" ref="M285" ns288:id="rId290"/>
    <x:hyperlink xmlns:ns289="http://schemas.openxmlformats.org/officeDocument/2006/relationships" ref="M286" ns289:id="rId291"/>
    <x:hyperlink xmlns:ns290="http://schemas.openxmlformats.org/officeDocument/2006/relationships" ref="M287" ns290:id="rId292"/>
    <x:hyperlink xmlns:ns291="http://schemas.openxmlformats.org/officeDocument/2006/relationships" ref="M288" ns291:id="rId293"/>
    <x:hyperlink xmlns:ns292="http://schemas.openxmlformats.org/officeDocument/2006/relationships" ref="M289" ns292:id="rId294"/>
    <x:hyperlink xmlns:ns293="http://schemas.openxmlformats.org/officeDocument/2006/relationships" ref="M290" ns293:id="rId295"/>
    <x:hyperlink xmlns:ns294="http://schemas.openxmlformats.org/officeDocument/2006/relationships" ref="M291" ns294:id="rId296"/>
    <x:hyperlink xmlns:ns295="http://schemas.openxmlformats.org/officeDocument/2006/relationships" ref="M292" ns295:id="rId297"/>
    <x:hyperlink xmlns:ns296="http://schemas.openxmlformats.org/officeDocument/2006/relationships" ref="M293" ns296:id="rId298"/>
    <x:hyperlink xmlns:ns297="http://schemas.openxmlformats.org/officeDocument/2006/relationships" ref="M294" ns297:id="rId299"/>
    <x:hyperlink xmlns:ns298="http://schemas.openxmlformats.org/officeDocument/2006/relationships" ref="M295" ns298:id="rId300"/>
    <x:hyperlink xmlns:ns299="http://schemas.openxmlformats.org/officeDocument/2006/relationships" ref="M296" ns299:id="rId301"/>
    <x:hyperlink xmlns:ns300="http://schemas.openxmlformats.org/officeDocument/2006/relationships" ref="M297" ns300:id="rId302"/>
    <x:hyperlink xmlns:ns301="http://schemas.openxmlformats.org/officeDocument/2006/relationships" ref="M298" ns301:id="rId303"/>
    <x:hyperlink xmlns:ns302="http://schemas.openxmlformats.org/officeDocument/2006/relationships" ref="M299" ns302:id="rId304"/>
    <x:hyperlink xmlns:ns303="http://schemas.openxmlformats.org/officeDocument/2006/relationships" ref="M300" ns303:id="rId305"/>
    <x:hyperlink xmlns:ns304="http://schemas.openxmlformats.org/officeDocument/2006/relationships" ref="M301" ns304:id="rId306"/>
    <x:hyperlink xmlns:ns305="http://schemas.openxmlformats.org/officeDocument/2006/relationships" ref="M302" ns305:id="rId307"/>
    <x:hyperlink xmlns:ns306="http://schemas.openxmlformats.org/officeDocument/2006/relationships" ref="M303" ns306:id="rId308"/>
    <x:hyperlink xmlns:ns307="http://schemas.openxmlformats.org/officeDocument/2006/relationships" ref="M304" ns307:id="rId309"/>
    <x:hyperlink xmlns:ns308="http://schemas.openxmlformats.org/officeDocument/2006/relationships" ref="M305" ns308:id="rId310"/>
    <x:hyperlink xmlns:ns309="http://schemas.openxmlformats.org/officeDocument/2006/relationships" ref="M306" ns309:id="rId311"/>
    <x:hyperlink xmlns:ns310="http://schemas.openxmlformats.org/officeDocument/2006/relationships" ref="M307" ns310:id="rId312"/>
    <x:hyperlink xmlns:ns311="http://schemas.openxmlformats.org/officeDocument/2006/relationships" ref="M308" ns311:id="rId313"/>
    <x:hyperlink xmlns:ns312="http://schemas.openxmlformats.org/officeDocument/2006/relationships" ref="M309" ns312:id="rId314"/>
    <x:hyperlink xmlns:ns313="http://schemas.openxmlformats.org/officeDocument/2006/relationships" ref="M310" ns313:id="rId315"/>
    <x:hyperlink xmlns:ns314="http://schemas.openxmlformats.org/officeDocument/2006/relationships" ref="M311" ns314:id="rId316"/>
    <x:hyperlink xmlns:ns315="http://schemas.openxmlformats.org/officeDocument/2006/relationships" ref="M312" ns315:id="rId317"/>
    <x:hyperlink xmlns:ns316="http://schemas.openxmlformats.org/officeDocument/2006/relationships" ref="M313" ns316:id="rId318"/>
    <x:hyperlink xmlns:ns317="http://schemas.openxmlformats.org/officeDocument/2006/relationships" ref="M314" ns317:id="rId319"/>
    <x:hyperlink xmlns:ns318="http://schemas.openxmlformats.org/officeDocument/2006/relationships" ref="M315" ns318:id="rId320"/>
    <x:hyperlink xmlns:ns319="http://schemas.openxmlformats.org/officeDocument/2006/relationships" ref="M316" ns319:id="rId321"/>
    <x:hyperlink xmlns:ns320="http://schemas.openxmlformats.org/officeDocument/2006/relationships" ref="M317" ns320:id="rId322"/>
    <x:hyperlink xmlns:ns321="http://schemas.openxmlformats.org/officeDocument/2006/relationships" ref="M318" ns321:id="rId323"/>
    <x:hyperlink xmlns:ns322="http://schemas.openxmlformats.org/officeDocument/2006/relationships" ref="M319" ns322:id="rId324"/>
    <x:hyperlink xmlns:ns323="http://schemas.openxmlformats.org/officeDocument/2006/relationships" ref="M320" ns323:id="rId325"/>
    <x:hyperlink xmlns:ns324="http://schemas.openxmlformats.org/officeDocument/2006/relationships" ref="M321" ns324:id="rId326"/>
    <x:hyperlink xmlns:ns325="http://schemas.openxmlformats.org/officeDocument/2006/relationships" ref="M322" ns325:id="rId327"/>
    <x:hyperlink xmlns:ns326="http://schemas.openxmlformats.org/officeDocument/2006/relationships" ref="M323" ns326:id="rId328"/>
    <x:hyperlink xmlns:ns327="http://schemas.openxmlformats.org/officeDocument/2006/relationships" ref="M324" ns327:id="rId329"/>
    <x:hyperlink xmlns:ns328="http://schemas.openxmlformats.org/officeDocument/2006/relationships" ref="M325" ns328:id="rId330"/>
    <x:hyperlink xmlns:ns329="http://schemas.openxmlformats.org/officeDocument/2006/relationships" ref="M326" ns329:id="rId331"/>
    <x:hyperlink xmlns:ns330="http://schemas.openxmlformats.org/officeDocument/2006/relationships" ref="M327" ns330:id="rId332"/>
    <x:hyperlink xmlns:ns331="http://schemas.openxmlformats.org/officeDocument/2006/relationships" ref="M328" ns331:id="rId333"/>
    <x:hyperlink xmlns:ns332="http://schemas.openxmlformats.org/officeDocument/2006/relationships" ref="M329" ns332:id="rId334"/>
    <x:hyperlink xmlns:ns333="http://schemas.openxmlformats.org/officeDocument/2006/relationships" ref="M330" ns333:id="rId335"/>
    <x:hyperlink xmlns:ns334="http://schemas.openxmlformats.org/officeDocument/2006/relationships" ref="M331" ns334:id="rId336"/>
    <x:hyperlink xmlns:ns335="http://schemas.openxmlformats.org/officeDocument/2006/relationships" ref="M332" ns335:id="rId337"/>
    <x:hyperlink xmlns:ns336="http://schemas.openxmlformats.org/officeDocument/2006/relationships" ref="M333" ns336:id="rId338"/>
    <x:hyperlink xmlns:ns337="http://schemas.openxmlformats.org/officeDocument/2006/relationships" ref="M334" ns337:id="rId339"/>
    <x:hyperlink xmlns:ns338="http://schemas.openxmlformats.org/officeDocument/2006/relationships" ref="M335" ns338:id="rId340"/>
    <x:hyperlink xmlns:ns339="http://schemas.openxmlformats.org/officeDocument/2006/relationships" ref="M336" ns339:id="rId341"/>
    <x:hyperlink xmlns:ns340="http://schemas.openxmlformats.org/officeDocument/2006/relationships" ref="M337" ns340:id="rId342"/>
    <x:hyperlink xmlns:ns341="http://schemas.openxmlformats.org/officeDocument/2006/relationships" ref="M338" ns341:id="rId343"/>
    <x:hyperlink xmlns:ns342="http://schemas.openxmlformats.org/officeDocument/2006/relationships" ref="M339" ns342:id="rId344"/>
    <x:hyperlink xmlns:ns343="http://schemas.openxmlformats.org/officeDocument/2006/relationships" ref="M340" ns343:id="rId345"/>
    <x:hyperlink xmlns:ns344="http://schemas.openxmlformats.org/officeDocument/2006/relationships" ref="M341" ns344:id="rId346"/>
    <x:hyperlink xmlns:ns345="http://schemas.openxmlformats.org/officeDocument/2006/relationships" ref="M342" ns345:id="rId347"/>
    <x:hyperlink xmlns:ns346="http://schemas.openxmlformats.org/officeDocument/2006/relationships" ref="M343" ns346:id="rId348"/>
    <x:hyperlink xmlns:ns347="http://schemas.openxmlformats.org/officeDocument/2006/relationships" ref="M344" ns347:id="rId349"/>
    <x:hyperlink xmlns:ns348="http://schemas.openxmlformats.org/officeDocument/2006/relationships" ref="M345" ns348:id="rId350"/>
    <x:hyperlink xmlns:ns349="http://schemas.openxmlformats.org/officeDocument/2006/relationships" ref="M346" ns349:id="rId351"/>
    <x:hyperlink xmlns:ns350="http://schemas.openxmlformats.org/officeDocument/2006/relationships" ref="M347" ns350:id="rId352"/>
    <x:hyperlink xmlns:ns351="http://schemas.openxmlformats.org/officeDocument/2006/relationships" ref="M348" ns351:id="rId353"/>
    <x:hyperlink xmlns:ns352="http://schemas.openxmlformats.org/officeDocument/2006/relationships" ref="M349" ns352:id="rId354"/>
    <x:hyperlink xmlns:ns353="http://schemas.openxmlformats.org/officeDocument/2006/relationships" ref="M350" ns353:id="rId355"/>
    <x:hyperlink xmlns:ns354="http://schemas.openxmlformats.org/officeDocument/2006/relationships" ref="M351" ns354:id="rId356"/>
    <x:hyperlink xmlns:ns355="http://schemas.openxmlformats.org/officeDocument/2006/relationships" ref="M352" ns355:id="rId357"/>
    <x:hyperlink xmlns:ns356="http://schemas.openxmlformats.org/officeDocument/2006/relationships" ref="M353" ns356:id="rId358"/>
    <x:hyperlink xmlns:ns357="http://schemas.openxmlformats.org/officeDocument/2006/relationships" ref="M354" ns357:id="rId359"/>
    <x:hyperlink xmlns:ns358="http://schemas.openxmlformats.org/officeDocument/2006/relationships" ref="M355" ns358:id="rId360"/>
    <x:hyperlink xmlns:ns359="http://schemas.openxmlformats.org/officeDocument/2006/relationships" ref="M356" ns359:id="rId361"/>
    <x:hyperlink xmlns:ns360="http://schemas.openxmlformats.org/officeDocument/2006/relationships" ref="M357" ns360:id="rId362"/>
    <x:hyperlink xmlns:ns361="http://schemas.openxmlformats.org/officeDocument/2006/relationships" ref="M358" ns361:id="rId363"/>
    <x:hyperlink xmlns:ns362="http://schemas.openxmlformats.org/officeDocument/2006/relationships" ref="M359" ns362:id="rId364"/>
    <x:hyperlink xmlns:ns363="http://schemas.openxmlformats.org/officeDocument/2006/relationships" ref="M360" ns363:id="rId365"/>
    <x:hyperlink xmlns:ns364="http://schemas.openxmlformats.org/officeDocument/2006/relationships" ref="M361" ns364:id="rId366"/>
    <x:hyperlink xmlns:ns365="http://schemas.openxmlformats.org/officeDocument/2006/relationships" ref="M362" ns365:id="rId367"/>
    <x:hyperlink xmlns:ns366="http://schemas.openxmlformats.org/officeDocument/2006/relationships" ref="M363" ns366:id="rId368"/>
    <x:hyperlink xmlns:ns367="http://schemas.openxmlformats.org/officeDocument/2006/relationships" ref="M364" ns367:id="rId369"/>
    <x:hyperlink xmlns:ns368="http://schemas.openxmlformats.org/officeDocument/2006/relationships" ref="M365" ns368:id="rId370"/>
    <x:hyperlink xmlns:ns369="http://schemas.openxmlformats.org/officeDocument/2006/relationships" ref="M366" ns369:id="rId371"/>
    <x:hyperlink xmlns:ns370="http://schemas.openxmlformats.org/officeDocument/2006/relationships" ref="M367" ns370:id="rId372"/>
    <x:hyperlink xmlns:ns371="http://schemas.openxmlformats.org/officeDocument/2006/relationships" ref="M368" ns371:id="rId373"/>
    <x:hyperlink xmlns:ns372="http://schemas.openxmlformats.org/officeDocument/2006/relationships" ref="M369" ns372:id="rId374"/>
    <x:hyperlink xmlns:ns373="http://schemas.openxmlformats.org/officeDocument/2006/relationships" ref="M370" ns373:id="rId375"/>
    <x:hyperlink xmlns:ns374="http://schemas.openxmlformats.org/officeDocument/2006/relationships" ref="M371" ns374:id="rId376"/>
    <x:hyperlink xmlns:ns375="http://schemas.openxmlformats.org/officeDocument/2006/relationships" ref="M372" ns375:id="rId377"/>
    <x:hyperlink xmlns:ns376="http://schemas.openxmlformats.org/officeDocument/2006/relationships" ref="M373" ns376:id="rId378"/>
    <x:hyperlink xmlns:ns377="http://schemas.openxmlformats.org/officeDocument/2006/relationships" ref="M374" ns377:id="rId379"/>
    <x:hyperlink xmlns:ns378="http://schemas.openxmlformats.org/officeDocument/2006/relationships" ref="M375" ns378:id="rId380"/>
    <x:hyperlink xmlns:ns379="http://schemas.openxmlformats.org/officeDocument/2006/relationships" ref="M376" ns379:id="rId381"/>
    <x:hyperlink xmlns:ns380="http://schemas.openxmlformats.org/officeDocument/2006/relationships" ref="M377" ns380:id="rId382"/>
    <x:hyperlink xmlns:ns381="http://schemas.openxmlformats.org/officeDocument/2006/relationships" ref="M378" ns381:id="rId383"/>
    <x:hyperlink xmlns:ns382="http://schemas.openxmlformats.org/officeDocument/2006/relationships" ref="M379" ns382:id="rId384"/>
    <x:hyperlink xmlns:ns383="http://schemas.openxmlformats.org/officeDocument/2006/relationships" ref="M380" ns383:id="rId385"/>
    <x:hyperlink xmlns:ns384="http://schemas.openxmlformats.org/officeDocument/2006/relationships" ref="M381" ns384:id="rId386"/>
    <x:hyperlink xmlns:ns385="http://schemas.openxmlformats.org/officeDocument/2006/relationships" ref="M382" ns385:id="rId387"/>
    <x:hyperlink xmlns:ns386="http://schemas.openxmlformats.org/officeDocument/2006/relationships" ref="M383" ns386:id="rId388"/>
    <x:hyperlink xmlns:ns387="http://schemas.openxmlformats.org/officeDocument/2006/relationships" ref="M384" ns387:id="rId389"/>
    <x:hyperlink xmlns:ns388="http://schemas.openxmlformats.org/officeDocument/2006/relationships" ref="M385" ns388:id="rId390"/>
    <x:hyperlink xmlns:ns389="http://schemas.openxmlformats.org/officeDocument/2006/relationships" ref="M386" ns389:id="rId391"/>
    <x:hyperlink xmlns:ns390="http://schemas.openxmlformats.org/officeDocument/2006/relationships" ref="M387" ns390:id="rId392"/>
    <x:hyperlink xmlns:ns391="http://schemas.openxmlformats.org/officeDocument/2006/relationships" ref="M388" ns391:id="rId393"/>
    <x:hyperlink xmlns:ns392="http://schemas.openxmlformats.org/officeDocument/2006/relationships" ref="M389" ns392:id="rId394"/>
    <x:hyperlink xmlns:ns393="http://schemas.openxmlformats.org/officeDocument/2006/relationships" ref="M390" ns393:id="rId395"/>
    <x:hyperlink xmlns:ns394="http://schemas.openxmlformats.org/officeDocument/2006/relationships" ref="M391" ns394:id="rId396"/>
    <x:hyperlink xmlns:ns395="http://schemas.openxmlformats.org/officeDocument/2006/relationships" ref="M392" ns395:id="rId397"/>
    <x:hyperlink xmlns:ns396="http://schemas.openxmlformats.org/officeDocument/2006/relationships" ref="M393" ns396:id="rId398"/>
    <x:hyperlink xmlns:ns397="http://schemas.openxmlformats.org/officeDocument/2006/relationships" ref="M394" ns397:id="rId399"/>
    <x:hyperlink xmlns:ns398="http://schemas.openxmlformats.org/officeDocument/2006/relationships" ref="M395" ns398:id="rId400"/>
    <x:hyperlink xmlns:ns399="http://schemas.openxmlformats.org/officeDocument/2006/relationships" ref="M396" ns399:id="rId401"/>
    <x:hyperlink xmlns:ns400="http://schemas.openxmlformats.org/officeDocument/2006/relationships" ref="M397" ns400:id="rId402"/>
    <x:hyperlink xmlns:ns401="http://schemas.openxmlformats.org/officeDocument/2006/relationships" ref="M398" ns401:id="rId403"/>
    <x:hyperlink xmlns:ns402="http://schemas.openxmlformats.org/officeDocument/2006/relationships" ref="M399" ns402:id="rId404"/>
    <x:hyperlink xmlns:ns403="http://schemas.openxmlformats.org/officeDocument/2006/relationships" ref="M400" ns403:id="rId405"/>
    <x:hyperlink xmlns:ns404="http://schemas.openxmlformats.org/officeDocument/2006/relationships" ref="M401" ns404:id="rId406"/>
    <x:hyperlink xmlns:ns405="http://schemas.openxmlformats.org/officeDocument/2006/relationships" ref="M402" ns405:id="rId407"/>
    <x:hyperlink xmlns:ns406="http://schemas.openxmlformats.org/officeDocument/2006/relationships" ref="M403" ns406:id="rId408"/>
    <x:hyperlink xmlns:ns407="http://schemas.openxmlformats.org/officeDocument/2006/relationships" ref="M404" ns407:id="rId409"/>
    <x:hyperlink xmlns:ns408="http://schemas.openxmlformats.org/officeDocument/2006/relationships" ref="M405" ns408:id="rId410"/>
    <x:hyperlink xmlns:ns409="http://schemas.openxmlformats.org/officeDocument/2006/relationships" ref="M406" ns409:id="rId411"/>
    <x:hyperlink xmlns:ns410="http://schemas.openxmlformats.org/officeDocument/2006/relationships" ref="M407" ns410:id="rId412"/>
    <x:hyperlink xmlns:ns411="http://schemas.openxmlformats.org/officeDocument/2006/relationships" ref="M408" ns411:id="rId413"/>
    <x:hyperlink xmlns:ns412="http://schemas.openxmlformats.org/officeDocument/2006/relationships" ref="M409" ns412:id="rId414"/>
    <x:hyperlink xmlns:ns413="http://schemas.openxmlformats.org/officeDocument/2006/relationships" ref="M410" ns413:id="rId415"/>
    <x:hyperlink xmlns:ns414="http://schemas.openxmlformats.org/officeDocument/2006/relationships" ref="M411" ns414:id="rId416"/>
    <x:hyperlink xmlns:ns415="http://schemas.openxmlformats.org/officeDocument/2006/relationships" ref="M412" ns415:id="rId417"/>
    <x:hyperlink xmlns:ns416="http://schemas.openxmlformats.org/officeDocument/2006/relationships" ref="M413" ns416:id="rId418"/>
    <x:hyperlink xmlns:ns417="http://schemas.openxmlformats.org/officeDocument/2006/relationships" ref="M414" ns417:id="rId419"/>
    <x:hyperlink xmlns:ns418="http://schemas.openxmlformats.org/officeDocument/2006/relationships" ref="M415" ns418:id="rId420"/>
    <x:hyperlink xmlns:ns419="http://schemas.openxmlformats.org/officeDocument/2006/relationships" ref="M416" ns419:id="rId421"/>
    <x:hyperlink xmlns:ns420="http://schemas.openxmlformats.org/officeDocument/2006/relationships" ref="M417" ns420:id="rId422"/>
    <x:hyperlink xmlns:ns421="http://schemas.openxmlformats.org/officeDocument/2006/relationships" ref="M418" ns421:id="rId423"/>
    <x:hyperlink xmlns:ns422="http://schemas.openxmlformats.org/officeDocument/2006/relationships" ref="M419" ns422:id="rId424"/>
    <x:hyperlink xmlns:ns423="http://schemas.openxmlformats.org/officeDocument/2006/relationships" ref="M420" ns423:id="rId425"/>
    <x:hyperlink xmlns:ns424="http://schemas.openxmlformats.org/officeDocument/2006/relationships" ref="M421" ns424:id="rId426"/>
    <x:hyperlink xmlns:ns425="http://schemas.openxmlformats.org/officeDocument/2006/relationships" ref="M422" ns425:id="rId427"/>
    <x:hyperlink xmlns:ns426="http://schemas.openxmlformats.org/officeDocument/2006/relationships" ref="M423" ns426:id="rId428"/>
    <x:hyperlink xmlns:ns427="http://schemas.openxmlformats.org/officeDocument/2006/relationships" ref="M424" ns427:id="rId429"/>
    <x:hyperlink xmlns:ns428="http://schemas.openxmlformats.org/officeDocument/2006/relationships" ref="M425" ns428:id="rId430"/>
    <x:hyperlink xmlns:ns429="http://schemas.openxmlformats.org/officeDocument/2006/relationships" ref="M426" ns429:id="rId431"/>
    <x:hyperlink xmlns:ns430="http://schemas.openxmlformats.org/officeDocument/2006/relationships" ref="M427" ns430:id="rId432"/>
    <x:hyperlink xmlns:ns431="http://schemas.openxmlformats.org/officeDocument/2006/relationships" ref="M428" ns431:id="rId433"/>
    <x:hyperlink xmlns:ns432="http://schemas.openxmlformats.org/officeDocument/2006/relationships" ref="M429" ns432:id="rId434"/>
    <x:hyperlink xmlns:ns433="http://schemas.openxmlformats.org/officeDocument/2006/relationships" ref="M430" ns433:id="rId435"/>
    <x:hyperlink xmlns:ns434="http://schemas.openxmlformats.org/officeDocument/2006/relationships" ref="M431" ns434:id="rId436"/>
    <x:hyperlink xmlns:ns435="http://schemas.openxmlformats.org/officeDocument/2006/relationships" ref="M432" ns435:id="rId437"/>
    <x:hyperlink xmlns:ns436="http://schemas.openxmlformats.org/officeDocument/2006/relationships" ref="M433" ns436:id="rId438"/>
    <x:hyperlink xmlns:ns437="http://schemas.openxmlformats.org/officeDocument/2006/relationships" ref="M434" ns437:id="rId439"/>
    <x:hyperlink xmlns:ns438="http://schemas.openxmlformats.org/officeDocument/2006/relationships" ref="M435" ns438:id="rId440"/>
    <x:hyperlink xmlns:ns439="http://schemas.openxmlformats.org/officeDocument/2006/relationships" ref="M436" ns439:id="rId441"/>
    <x:hyperlink xmlns:ns440="http://schemas.openxmlformats.org/officeDocument/2006/relationships" ref="M437" ns440:id="rId442"/>
    <x:hyperlink xmlns:ns441="http://schemas.openxmlformats.org/officeDocument/2006/relationships" ref="M438" ns441:id="rId443"/>
    <x:hyperlink xmlns:ns442="http://schemas.openxmlformats.org/officeDocument/2006/relationships" ref="M439" ns442:id="rId444"/>
    <x:hyperlink xmlns:ns443="http://schemas.openxmlformats.org/officeDocument/2006/relationships" ref="M440" ns443:id="rId445"/>
    <x:hyperlink xmlns:ns444="http://schemas.openxmlformats.org/officeDocument/2006/relationships" ref="M441" ns444:id="rId446"/>
    <x:hyperlink xmlns:ns445="http://schemas.openxmlformats.org/officeDocument/2006/relationships" ref="M442" ns445:id="rId447"/>
    <x:hyperlink xmlns:ns446="http://schemas.openxmlformats.org/officeDocument/2006/relationships" ref="M443" ns446:id="rId448"/>
    <x:hyperlink xmlns:ns447="http://schemas.openxmlformats.org/officeDocument/2006/relationships" ref="M444" ns447:id="rId449"/>
    <x:hyperlink xmlns:ns448="http://schemas.openxmlformats.org/officeDocument/2006/relationships" ref="M445" ns448:id="rId450"/>
    <x:hyperlink xmlns:ns449="http://schemas.openxmlformats.org/officeDocument/2006/relationships" ref="M446" ns449:id="rId451"/>
    <x:hyperlink xmlns:ns450="http://schemas.openxmlformats.org/officeDocument/2006/relationships" ref="M447" ns450:id="rId452"/>
    <x:hyperlink xmlns:ns451="http://schemas.openxmlformats.org/officeDocument/2006/relationships" ref="M448" ns451:id="rId453"/>
    <x:hyperlink xmlns:ns452="http://schemas.openxmlformats.org/officeDocument/2006/relationships" ref="M449" ns452:id="rId454"/>
    <x:hyperlink xmlns:ns453="http://schemas.openxmlformats.org/officeDocument/2006/relationships" ref="M450" ns453:id="rId455"/>
    <x:hyperlink xmlns:ns454="http://schemas.openxmlformats.org/officeDocument/2006/relationships" ref="M451" ns454:id="rId456"/>
    <x:hyperlink xmlns:ns455="http://schemas.openxmlformats.org/officeDocument/2006/relationships" ref="M452" ns455:id="rId457"/>
    <x:hyperlink xmlns:ns456="http://schemas.openxmlformats.org/officeDocument/2006/relationships" ref="M453" ns456:id="rId458"/>
    <x:hyperlink xmlns:ns457="http://schemas.openxmlformats.org/officeDocument/2006/relationships" ref="M454" ns457:id="rId459"/>
    <x:hyperlink xmlns:ns458="http://schemas.openxmlformats.org/officeDocument/2006/relationships" ref="M455" ns458:id="rId460"/>
    <x:hyperlink xmlns:ns459="http://schemas.openxmlformats.org/officeDocument/2006/relationships" ref="M456" ns459:id="rId461"/>
    <x:hyperlink xmlns:ns460="http://schemas.openxmlformats.org/officeDocument/2006/relationships" ref="M457" ns460:id="rId462"/>
    <x:hyperlink xmlns:ns461="http://schemas.openxmlformats.org/officeDocument/2006/relationships" ref="M458" ns461:id="rId463"/>
    <x:hyperlink xmlns:ns462="http://schemas.openxmlformats.org/officeDocument/2006/relationships" ref="M459" ns462:id="rId464"/>
    <x:hyperlink xmlns:ns463="http://schemas.openxmlformats.org/officeDocument/2006/relationships" ref="M460" ns463:id="rId465"/>
    <x:hyperlink xmlns:ns464="http://schemas.openxmlformats.org/officeDocument/2006/relationships" ref="M461" ns464:id="rId466"/>
    <x:hyperlink xmlns:ns465="http://schemas.openxmlformats.org/officeDocument/2006/relationships" ref="M462" ns465:id="rId467"/>
    <x:hyperlink xmlns:ns466="http://schemas.openxmlformats.org/officeDocument/2006/relationships" ref="M463" ns466:id="rId468"/>
    <x:hyperlink xmlns:ns467="http://schemas.openxmlformats.org/officeDocument/2006/relationships" ref="M464" ns467:id="rId469"/>
    <x:hyperlink xmlns:ns468="http://schemas.openxmlformats.org/officeDocument/2006/relationships" ref="M465" ns468:id="rId470"/>
    <x:hyperlink xmlns:ns469="http://schemas.openxmlformats.org/officeDocument/2006/relationships" ref="M466" ns469:id="rId471"/>
    <x:hyperlink xmlns:ns470="http://schemas.openxmlformats.org/officeDocument/2006/relationships" ref="M467" ns470:id="rId472"/>
    <x:hyperlink xmlns:ns471="http://schemas.openxmlformats.org/officeDocument/2006/relationships" ref="M468" ns471:id="rId473"/>
    <x:hyperlink xmlns:ns472="http://schemas.openxmlformats.org/officeDocument/2006/relationships" ref="M469" ns472:id="rId474"/>
    <x:hyperlink xmlns:ns473="http://schemas.openxmlformats.org/officeDocument/2006/relationships" ref="M470" ns473:id="rId475"/>
    <x:hyperlink xmlns:ns474="http://schemas.openxmlformats.org/officeDocument/2006/relationships" ref="M471" ns474:id="rId476"/>
    <x:hyperlink xmlns:ns475="http://schemas.openxmlformats.org/officeDocument/2006/relationships" ref="M472" ns475:id="rId477"/>
    <x:hyperlink xmlns:ns476="http://schemas.openxmlformats.org/officeDocument/2006/relationships" ref="M473" ns476:id="rId478"/>
    <x:hyperlink xmlns:ns477="http://schemas.openxmlformats.org/officeDocument/2006/relationships" ref="M474" ns477:id="rId479"/>
    <x:hyperlink xmlns:ns478="http://schemas.openxmlformats.org/officeDocument/2006/relationships" ref="M475" ns478:id="rId480"/>
    <x:hyperlink xmlns:ns479="http://schemas.openxmlformats.org/officeDocument/2006/relationships" ref="M476" ns479:id="rId481"/>
    <x:hyperlink xmlns:ns480="http://schemas.openxmlformats.org/officeDocument/2006/relationships" ref="M477" ns480:id="rId482"/>
    <x:hyperlink xmlns:ns481="http://schemas.openxmlformats.org/officeDocument/2006/relationships" ref="M478" ns481:id="rId483"/>
    <x:hyperlink xmlns:ns482="http://schemas.openxmlformats.org/officeDocument/2006/relationships" ref="M479" ns482:id="rId484"/>
    <x:hyperlink xmlns:ns483="http://schemas.openxmlformats.org/officeDocument/2006/relationships" ref="M480" ns483:id="rId485"/>
    <x:hyperlink xmlns:ns484="http://schemas.openxmlformats.org/officeDocument/2006/relationships" ref="M481" ns484:id="rId486"/>
    <x:hyperlink xmlns:ns485="http://schemas.openxmlformats.org/officeDocument/2006/relationships" ref="M482" ns485:id="rId487"/>
    <x:hyperlink xmlns:ns486="http://schemas.openxmlformats.org/officeDocument/2006/relationships" ref="M483" ns486:id="rId488"/>
    <x:hyperlink xmlns:ns487="http://schemas.openxmlformats.org/officeDocument/2006/relationships" ref="M484" ns487:id="rId489"/>
    <x:hyperlink xmlns:ns488="http://schemas.openxmlformats.org/officeDocument/2006/relationships" ref="M485" ns488:id="rId490"/>
    <x:hyperlink xmlns:ns489="http://schemas.openxmlformats.org/officeDocument/2006/relationships" ref="M486" ns489:id="rId491"/>
    <x:hyperlink xmlns:ns490="http://schemas.openxmlformats.org/officeDocument/2006/relationships" ref="M487" ns490:id="rId492"/>
    <x:hyperlink xmlns:ns491="http://schemas.openxmlformats.org/officeDocument/2006/relationships" ref="M488" ns491:id="rId493"/>
    <x:hyperlink xmlns:ns492="http://schemas.openxmlformats.org/officeDocument/2006/relationships" ref="M489" ns492:id="rId494"/>
    <x:hyperlink xmlns:ns493="http://schemas.openxmlformats.org/officeDocument/2006/relationships" ref="M490" ns493:id="rId495"/>
    <x:hyperlink xmlns:ns494="http://schemas.openxmlformats.org/officeDocument/2006/relationships" ref="M491" ns494:id="rId496"/>
    <x:hyperlink xmlns:ns495="http://schemas.openxmlformats.org/officeDocument/2006/relationships" ref="M492" ns495:id="rId497"/>
    <x:hyperlink xmlns:ns496="http://schemas.openxmlformats.org/officeDocument/2006/relationships" ref="M493" ns496:id="rId498"/>
    <x:hyperlink xmlns:ns497="http://schemas.openxmlformats.org/officeDocument/2006/relationships" ref="M494" ns497:id="rId499"/>
    <x:hyperlink xmlns:ns498="http://schemas.openxmlformats.org/officeDocument/2006/relationships" ref="M495" ns498:id="rId500"/>
    <x:hyperlink xmlns:ns499="http://schemas.openxmlformats.org/officeDocument/2006/relationships" ref="M496" ns499:id="rId501"/>
    <x:hyperlink xmlns:ns500="http://schemas.openxmlformats.org/officeDocument/2006/relationships" ref="M497" ns500:id="rId502"/>
    <x:hyperlink xmlns:ns501="http://schemas.openxmlformats.org/officeDocument/2006/relationships" ref="M498" ns501:id="rId503"/>
    <x:hyperlink xmlns:ns502="http://schemas.openxmlformats.org/officeDocument/2006/relationships" ref="M499" ns502:id="rId504"/>
    <x:hyperlink xmlns:ns503="http://schemas.openxmlformats.org/officeDocument/2006/relationships" ref="M500" ns503:id="rId505"/>
    <x:hyperlink xmlns:ns504="http://schemas.openxmlformats.org/officeDocument/2006/relationships" ref="M501" ns504:id="rId506"/>
    <x:hyperlink xmlns:ns505="http://schemas.openxmlformats.org/officeDocument/2006/relationships" ref="M502" ns505:id="rId507"/>
    <x:hyperlink xmlns:ns506="http://schemas.openxmlformats.org/officeDocument/2006/relationships" ref="M503" ns506:id="rId508"/>
    <x:hyperlink xmlns:ns507="http://schemas.openxmlformats.org/officeDocument/2006/relationships" ref="M504" ns507:id="rId509"/>
    <x:hyperlink xmlns:ns508="http://schemas.openxmlformats.org/officeDocument/2006/relationships" ref="M505" ns508:id="rId510"/>
    <x:hyperlink xmlns:ns509="http://schemas.openxmlformats.org/officeDocument/2006/relationships" ref="M506" ns509:id="rId511"/>
    <x:hyperlink xmlns:ns510="http://schemas.openxmlformats.org/officeDocument/2006/relationships" ref="M507" ns510:id="rId512"/>
    <x:hyperlink xmlns:ns511="http://schemas.openxmlformats.org/officeDocument/2006/relationships" ref="M508" ns511:id="rId513"/>
    <x:hyperlink xmlns:ns512="http://schemas.openxmlformats.org/officeDocument/2006/relationships" ref="M509" ns512:id="rId514"/>
    <x:hyperlink xmlns:ns513="http://schemas.openxmlformats.org/officeDocument/2006/relationships" ref="M510" ns513:id="rId515"/>
    <x:hyperlink xmlns:ns514="http://schemas.openxmlformats.org/officeDocument/2006/relationships" ref="M511" ns514:id="rId516"/>
    <x:hyperlink xmlns:ns515="http://schemas.openxmlformats.org/officeDocument/2006/relationships" ref="M512" ns515:id="rId517"/>
    <x:hyperlink xmlns:ns516="http://schemas.openxmlformats.org/officeDocument/2006/relationships" ref="M513" ns516:id="rId518"/>
    <x:hyperlink xmlns:ns517="http://schemas.openxmlformats.org/officeDocument/2006/relationships" ref="M514" ns517:id="rId519"/>
    <x:hyperlink xmlns:ns518="http://schemas.openxmlformats.org/officeDocument/2006/relationships" ref="M515" ns518:id="rId520"/>
    <x:hyperlink xmlns:ns519="http://schemas.openxmlformats.org/officeDocument/2006/relationships" ref="M516" ns519:id="rId521"/>
    <x:hyperlink xmlns:ns520="http://schemas.openxmlformats.org/officeDocument/2006/relationships" ref="M517" ns520:id="rId522"/>
    <x:hyperlink xmlns:ns521="http://schemas.openxmlformats.org/officeDocument/2006/relationships" ref="M518" ns521:id="rId523"/>
    <x:hyperlink xmlns:ns522="http://schemas.openxmlformats.org/officeDocument/2006/relationships" ref="M519" ns522:id="rId524"/>
    <x:hyperlink xmlns:ns523="http://schemas.openxmlformats.org/officeDocument/2006/relationships" ref="M520" ns523:id="rId525"/>
    <x:hyperlink xmlns:ns524="http://schemas.openxmlformats.org/officeDocument/2006/relationships" ref="M521" ns524:id="rId526"/>
    <x:hyperlink xmlns:ns525="http://schemas.openxmlformats.org/officeDocument/2006/relationships" ref="M522" ns525:id="rId527"/>
    <x:hyperlink xmlns:ns526="http://schemas.openxmlformats.org/officeDocument/2006/relationships" ref="M523" ns526:id="rId528"/>
    <x:hyperlink xmlns:ns527="http://schemas.openxmlformats.org/officeDocument/2006/relationships" ref="M524" ns527:id="rId529"/>
    <x:hyperlink xmlns:ns528="http://schemas.openxmlformats.org/officeDocument/2006/relationships" ref="M525" ns528:id="rId530"/>
    <x:hyperlink xmlns:ns529="http://schemas.openxmlformats.org/officeDocument/2006/relationships" ref="M526" ns529:id="rId531"/>
    <x:hyperlink xmlns:ns530="http://schemas.openxmlformats.org/officeDocument/2006/relationships" ref="M527" ns530:id="rId532"/>
    <x:hyperlink xmlns:ns531="http://schemas.openxmlformats.org/officeDocument/2006/relationships" ref="M528" ns531:id="rId533"/>
    <x:hyperlink xmlns:ns532="http://schemas.openxmlformats.org/officeDocument/2006/relationships" ref="M529" ns532:id="rId534"/>
    <x:hyperlink xmlns:ns533="http://schemas.openxmlformats.org/officeDocument/2006/relationships" ref="M530" ns533:id="rId535"/>
    <x:hyperlink xmlns:ns534="http://schemas.openxmlformats.org/officeDocument/2006/relationships" ref="M531" ns534:id="rId536"/>
    <x:hyperlink xmlns:ns535="http://schemas.openxmlformats.org/officeDocument/2006/relationships" ref="M532" ns535:id="rId537"/>
    <x:hyperlink xmlns:ns536="http://schemas.openxmlformats.org/officeDocument/2006/relationships" ref="M533" ns536:id="rId538"/>
    <x:hyperlink xmlns:ns537="http://schemas.openxmlformats.org/officeDocument/2006/relationships" ref="M534" ns537:id="rId539"/>
    <x:hyperlink xmlns:ns538="http://schemas.openxmlformats.org/officeDocument/2006/relationships" ref="M535" ns538:id="rId540"/>
    <x:hyperlink xmlns:ns539="http://schemas.openxmlformats.org/officeDocument/2006/relationships" ref="M536" ns539:id="rId541"/>
    <x:hyperlink xmlns:ns540="http://schemas.openxmlformats.org/officeDocument/2006/relationships" ref="M537" ns540:id="rId542"/>
    <x:hyperlink xmlns:ns541="http://schemas.openxmlformats.org/officeDocument/2006/relationships" ref="M538" ns541:id="rId543"/>
    <x:hyperlink xmlns:ns542="http://schemas.openxmlformats.org/officeDocument/2006/relationships" ref="M539" ns542:id="rId544"/>
    <x:hyperlink xmlns:ns543="http://schemas.openxmlformats.org/officeDocument/2006/relationships" ref="M540" ns543:id="rId545"/>
    <x:hyperlink xmlns:ns544="http://schemas.openxmlformats.org/officeDocument/2006/relationships" ref="M541" ns544:id="rId546"/>
    <x:hyperlink xmlns:ns545="http://schemas.openxmlformats.org/officeDocument/2006/relationships" ref="M542" ns545:id="rId547"/>
    <x:hyperlink xmlns:ns546="http://schemas.openxmlformats.org/officeDocument/2006/relationships" ref="M543" ns546:id="rId548"/>
    <x:hyperlink xmlns:ns547="http://schemas.openxmlformats.org/officeDocument/2006/relationships" ref="M544" ns547:id="rId549"/>
    <x:hyperlink xmlns:ns548="http://schemas.openxmlformats.org/officeDocument/2006/relationships" ref="M545" ns548:id="rId550"/>
    <x:hyperlink xmlns:ns549="http://schemas.openxmlformats.org/officeDocument/2006/relationships" ref="M546" ns549:id="rId551"/>
    <x:hyperlink xmlns:ns550="http://schemas.openxmlformats.org/officeDocument/2006/relationships" ref="M547" ns550:id="rId552"/>
    <x:hyperlink xmlns:ns551="http://schemas.openxmlformats.org/officeDocument/2006/relationships" ref="M548" ns551:id="rId553"/>
    <x:hyperlink xmlns:ns552="http://schemas.openxmlformats.org/officeDocument/2006/relationships" ref="M549" ns552:id="rId554"/>
    <x:hyperlink xmlns:ns553="http://schemas.openxmlformats.org/officeDocument/2006/relationships" ref="M550" ns553:id="rId555"/>
    <x:hyperlink xmlns:ns554="http://schemas.openxmlformats.org/officeDocument/2006/relationships" ref="M551" ns554:id="rId556"/>
    <x:hyperlink xmlns:ns555="http://schemas.openxmlformats.org/officeDocument/2006/relationships" ref="M552" ns555:id="rId557"/>
    <x:hyperlink xmlns:ns556="http://schemas.openxmlformats.org/officeDocument/2006/relationships" ref="M553" ns556:id="rId558"/>
    <x:hyperlink xmlns:ns557="http://schemas.openxmlformats.org/officeDocument/2006/relationships" ref="M554" ns557:id="rId559"/>
    <x:hyperlink xmlns:ns558="http://schemas.openxmlformats.org/officeDocument/2006/relationships" ref="M555" ns558:id="rId560"/>
    <x:hyperlink xmlns:ns559="http://schemas.openxmlformats.org/officeDocument/2006/relationships" ref="M556" ns559:id="rId561"/>
    <x:hyperlink xmlns:ns560="http://schemas.openxmlformats.org/officeDocument/2006/relationships" ref="M557" ns560:id="rId562"/>
    <x:hyperlink xmlns:ns561="http://schemas.openxmlformats.org/officeDocument/2006/relationships" ref="M558" ns561:id="rId563"/>
    <x:hyperlink xmlns:ns562="http://schemas.openxmlformats.org/officeDocument/2006/relationships" ref="M559" ns562:id="rId564"/>
    <x:hyperlink xmlns:ns563="http://schemas.openxmlformats.org/officeDocument/2006/relationships" ref="M560" ns563:id="rId565"/>
    <x:hyperlink xmlns:ns564="http://schemas.openxmlformats.org/officeDocument/2006/relationships" ref="M561" ns564:id="rId566"/>
    <x:hyperlink xmlns:ns565="http://schemas.openxmlformats.org/officeDocument/2006/relationships" ref="M562" ns565:id="rId567"/>
    <x:hyperlink xmlns:ns566="http://schemas.openxmlformats.org/officeDocument/2006/relationships" ref="M563" ns566:id="rId568"/>
    <x:hyperlink xmlns:ns567="http://schemas.openxmlformats.org/officeDocument/2006/relationships" ref="M564" ns567:id="rId569"/>
    <x:hyperlink xmlns:ns568="http://schemas.openxmlformats.org/officeDocument/2006/relationships" ref="M565" ns568:id="rId570"/>
    <x:hyperlink xmlns:ns569="http://schemas.openxmlformats.org/officeDocument/2006/relationships" ref="M566" ns569:id="rId571"/>
    <x:hyperlink xmlns:ns570="http://schemas.openxmlformats.org/officeDocument/2006/relationships" ref="M567" ns570:id="rId572"/>
    <x:hyperlink xmlns:ns571="http://schemas.openxmlformats.org/officeDocument/2006/relationships" ref="M568" ns571:id="rId573"/>
    <x:hyperlink xmlns:ns572="http://schemas.openxmlformats.org/officeDocument/2006/relationships" ref="M569" ns572:id="rId574"/>
    <x:hyperlink xmlns:ns573="http://schemas.openxmlformats.org/officeDocument/2006/relationships" ref="M570" ns573:id="rId575"/>
    <x:hyperlink xmlns:ns574="http://schemas.openxmlformats.org/officeDocument/2006/relationships" ref="M571" ns574:id="rId576"/>
    <x:hyperlink xmlns:ns575="http://schemas.openxmlformats.org/officeDocument/2006/relationships" ref="M572" ns575:id="rId577"/>
    <x:hyperlink xmlns:ns576="http://schemas.openxmlformats.org/officeDocument/2006/relationships" ref="M573" ns576:id="rId578"/>
    <x:hyperlink xmlns:ns577="http://schemas.openxmlformats.org/officeDocument/2006/relationships" ref="M574" ns577:id="rId579"/>
    <x:hyperlink xmlns:ns578="http://schemas.openxmlformats.org/officeDocument/2006/relationships" ref="M575" ns578:id="rId580"/>
    <x:hyperlink xmlns:ns579="http://schemas.openxmlformats.org/officeDocument/2006/relationships" ref="M576" ns579:id="rId581"/>
    <x:hyperlink xmlns:ns580="http://schemas.openxmlformats.org/officeDocument/2006/relationships" ref="M577" ns580:id="rId582"/>
    <x:hyperlink xmlns:ns581="http://schemas.openxmlformats.org/officeDocument/2006/relationships" ref="M578" ns581:id="rId583"/>
    <x:hyperlink xmlns:ns582="http://schemas.openxmlformats.org/officeDocument/2006/relationships" ref="M579" ns582:id="rId584"/>
    <x:hyperlink xmlns:ns583="http://schemas.openxmlformats.org/officeDocument/2006/relationships" ref="M580" ns583:id="rId585"/>
    <x:hyperlink xmlns:ns584="http://schemas.openxmlformats.org/officeDocument/2006/relationships" ref="M581" ns584:id="rId586"/>
    <x:hyperlink xmlns:ns585="http://schemas.openxmlformats.org/officeDocument/2006/relationships" ref="M582" ns585:id="rId587"/>
    <x:hyperlink xmlns:ns586="http://schemas.openxmlformats.org/officeDocument/2006/relationships" ref="M583" ns586:id="rId588"/>
    <x:hyperlink xmlns:ns587="http://schemas.openxmlformats.org/officeDocument/2006/relationships" ref="M584" ns587:id="rId589"/>
    <x:hyperlink xmlns:ns588="http://schemas.openxmlformats.org/officeDocument/2006/relationships" ref="M585" ns588:id="rId590"/>
    <x:hyperlink xmlns:ns589="http://schemas.openxmlformats.org/officeDocument/2006/relationships" ref="M586" ns589:id="rId591"/>
    <x:hyperlink xmlns:ns590="http://schemas.openxmlformats.org/officeDocument/2006/relationships" ref="M587" ns590:id="rId592"/>
    <x:hyperlink xmlns:ns591="http://schemas.openxmlformats.org/officeDocument/2006/relationships" ref="M588" ns591:id="rId593"/>
    <x:hyperlink xmlns:ns592="http://schemas.openxmlformats.org/officeDocument/2006/relationships" ref="M589" ns592:id="rId594"/>
    <x:hyperlink xmlns:ns593="http://schemas.openxmlformats.org/officeDocument/2006/relationships" ref="M590" ns593:id="rId595"/>
    <x:hyperlink xmlns:ns594="http://schemas.openxmlformats.org/officeDocument/2006/relationships" ref="M591" ns594:id="rId596"/>
    <x:hyperlink xmlns:ns595="http://schemas.openxmlformats.org/officeDocument/2006/relationships" ref="M592" ns595:id="rId597"/>
    <x:hyperlink xmlns:ns596="http://schemas.openxmlformats.org/officeDocument/2006/relationships" ref="M593" ns596:id="rId598"/>
    <x:hyperlink xmlns:ns597="http://schemas.openxmlformats.org/officeDocument/2006/relationships" ref="M594" ns597:id="rId599"/>
    <x:hyperlink xmlns:ns598="http://schemas.openxmlformats.org/officeDocument/2006/relationships" ref="M595" ns598:id="rId600"/>
    <x:hyperlink xmlns:ns599="http://schemas.openxmlformats.org/officeDocument/2006/relationships" ref="M596" ns599:id="rId601"/>
    <x:hyperlink xmlns:ns600="http://schemas.openxmlformats.org/officeDocument/2006/relationships" ref="M597" ns600:id="rId602"/>
    <x:hyperlink xmlns:ns601="http://schemas.openxmlformats.org/officeDocument/2006/relationships" ref="M598" ns601:id="rId603"/>
    <x:hyperlink xmlns:ns602="http://schemas.openxmlformats.org/officeDocument/2006/relationships" ref="M599" ns602:id="rId604"/>
    <x:hyperlink xmlns:ns603="http://schemas.openxmlformats.org/officeDocument/2006/relationships" ref="M600" ns603:id="rId605"/>
    <x:hyperlink xmlns:ns604="http://schemas.openxmlformats.org/officeDocument/2006/relationships" ref="M601" ns604:id="rId606"/>
    <x:hyperlink xmlns:ns605="http://schemas.openxmlformats.org/officeDocument/2006/relationships" ref="M602" ns605:id="rId607"/>
    <x:hyperlink xmlns:ns606="http://schemas.openxmlformats.org/officeDocument/2006/relationships" ref="M603" ns606:id="rId608"/>
    <x:hyperlink xmlns:ns607="http://schemas.openxmlformats.org/officeDocument/2006/relationships" ref="M604" ns607:id="rId609"/>
    <x:hyperlink xmlns:ns608="http://schemas.openxmlformats.org/officeDocument/2006/relationships" ref="M605" ns608:id="rId610"/>
    <x:hyperlink xmlns:ns609="http://schemas.openxmlformats.org/officeDocument/2006/relationships" ref="M606" ns609:id="rId611"/>
    <x:hyperlink xmlns:ns610="http://schemas.openxmlformats.org/officeDocument/2006/relationships" ref="M607" ns610:id="rId612"/>
    <x:hyperlink xmlns:ns611="http://schemas.openxmlformats.org/officeDocument/2006/relationships" ref="M608" ns611:id="rId613"/>
    <x:hyperlink xmlns:ns612="http://schemas.openxmlformats.org/officeDocument/2006/relationships" ref="M609" ns612:id="rId614"/>
    <x:hyperlink xmlns:ns613="http://schemas.openxmlformats.org/officeDocument/2006/relationships" ref="M610" ns613:id="rId615"/>
    <x:hyperlink xmlns:ns614="http://schemas.openxmlformats.org/officeDocument/2006/relationships" ref="M611" ns614:id="rId616"/>
    <x:hyperlink xmlns:ns615="http://schemas.openxmlformats.org/officeDocument/2006/relationships" ref="M612" ns615:id="rId617"/>
    <x:hyperlink xmlns:ns616="http://schemas.openxmlformats.org/officeDocument/2006/relationships" ref="M613" ns616:id="rId618"/>
    <x:hyperlink xmlns:ns617="http://schemas.openxmlformats.org/officeDocument/2006/relationships" ref="M614" ns617:id="rId619"/>
    <x:hyperlink xmlns:ns618="http://schemas.openxmlformats.org/officeDocument/2006/relationships" ref="M615" ns618:id="rId620"/>
    <x:hyperlink xmlns:ns619="http://schemas.openxmlformats.org/officeDocument/2006/relationships" ref="M616" ns619:id="rId621"/>
    <x:hyperlink xmlns:ns620="http://schemas.openxmlformats.org/officeDocument/2006/relationships" ref="M617" ns620:id="rId622"/>
    <x:hyperlink xmlns:ns621="http://schemas.openxmlformats.org/officeDocument/2006/relationships" ref="M618" ns621:id="rId623"/>
    <x:hyperlink xmlns:ns622="http://schemas.openxmlformats.org/officeDocument/2006/relationships" ref="M619" ns622:id="rId624"/>
    <x:hyperlink xmlns:ns623="http://schemas.openxmlformats.org/officeDocument/2006/relationships" ref="M620" ns623:id="rId625"/>
    <x:hyperlink xmlns:ns624="http://schemas.openxmlformats.org/officeDocument/2006/relationships" ref="M621" ns624:id="rId626"/>
    <x:hyperlink xmlns:ns625="http://schemas.openxmlformats.org/officeDocument/2006/relationships" ref="M622" ns625:id="rId627"/>
    <x:hyperlink xmlns:ns626="http://schemas.openxmlformats.org/officeDocument/2006/relationships" ref="M623" ns626:id="rId628"/>
    <x:hyperlink xmlns:ns627="http://schemas.openxmlformats.org/officeDocument/2006/relationships" ref="M624" ns627:id="rId629"/>
    <x:hyperlink xmlns:ns628="http://schemas.openxmlformats.org/officeDocument/2006/relationships" ref="M625" ns628:id="rId630"/>
    <x:hyperlink xmlns:ns629="http://schemas.openxmlformats.org/officeDocument/2006/relationships" ref="M626" ns629:id="rId631"/>
    <x:hyperlink xmlns:ns630="http://schemas.openxmlformats.org/officeDocument/2006/relationships" ref="M627" ns630:id="rId632"/>
    <x:hyperlink xmlns:ns631="http://schemas.openxmlformats.org/officeDocument/2006/relationships" ref="M628" ns631:id="rId633"/>
    <x:hyperlink xmlns:ns632="http://schemas.openxmlformats.org/officeDocument/2006/relationships" ref="M629" ns632:id="rId634"/>
    <x:hyperlink xmlns:ns633="http://schemas.openxmlformats.org/officeDocument/2006/relationships" ref="M630" ns633:id="rId635"/>
    <x:hyperlink xmlns:ns634="http://schemas.openxmlformats.org/officeDocument/2006/relationships" ref="M631" ns634:id="rId636"/>
    <x:hyperlink xmlns:ns635="http://schemas.openxmlformats.org/officeDocument/2006/relationships" ref="M632" ns635:id="rId637"/>
    <x:hyperlink xmlns:ns636="http://schemas.openxmlformats.org/officeDocument/2006/relationships" ref="M633" ns636:id="rId638"/>
    <x:hyperlink xmlns:ns637="http://schemas.openxmlformats.org/officeDocument/2006/relationships" ref="M634" ns637:id="rId639"/>
    <x:hyperlink xmlns:ns638="http://schemas.openxmlformats.org/officeDocument/2006/relationships" ref="M635" ns638:id="rId640"/>
    <x:hyperlink xmlns:ns639="http://schemas.openxmlformats.org/officeDocument/2006/relationships" ref="M636" ns639:id="rId641"/>
    <x:hyperlink xmlns:ns640="http://schemas.openxmlformats.org/officeDocument/2006/relationships" ref="M637" ns640:id="rId642"/>
    <x:hyperlink xmlns:ns641="http://schemas.openxmlformats.org/officeDocument/2006/relationships" ref="M638" ns641:id="rId643"/>
    <x:hyperlink xmlns:ns642="http://schemas.openxmlformats.org/officeDocument/2006/relationships" ref="M639" ns642:id="rId644"/>
    <x:hyperlink xmlns:ns643="http://schemas.openxmlformats.org/officeDocument/2006/relationships" ref="M640" ns643:id="rId645"/>
    <x:hyperlink xmlns:ns644="http://schemas.openxmlformats.org/officeDocument/2006/relationships" ref="M641" ns644:id="rId646"/>
    <x:hyperlink xmlns:ns645="http://schemas.openxmlformats.org/officeDocument/2006/relationships" ref="M642" ns645:id="rId647"/>
    <x:hyperlink xmlns:ns646="http://schemas.openxmlformats.org/officeDocument/2006/relationships" ref="M643" ns646:id="rId648"/>
    <x:hyperlink xmlns:ns647="http://schemas.openxmlformats.org/officeDocument/2006/relationships" ref="M644" ns647:id="rId649"/>
    <x:hyperlink xmlns:ns648="http://schemas.openxmlformats.org/officeDocument/2006/relationships" ref="M645" ns648:id="rId650"/>
    <x:hyperlink xmlns:ns649="http://schemas.openxmlformats.org/officeDocument/2006/relationships" ref="M646" ns649:id="rId651"/>
    <x:hyperlink xmlns:ns650="http://schemas.openxmlformats.org/officeDocument/2006/relationships" ref="M647" ns650:id="rId652"/>
    <x:hyperlink xmlns:ns651="http://schemas.openxmlformats.org/officeDocument/2006/relationships" ref="M648" ns651:id="rId653"/>
    <x:hyperlink xmlns:ns652="http://schemas.openxmlformats.org/officeDocument/2006/relationships" ref="M649" ns652:id="rId654"/>
    <x:hyperlink xmlns:ns653="http://schemas.openxmlformats.org/officeDocument/2006/relationships" ref="M650" ns653:id="rId655"/>
    <x:hyperlink xmlns:ns654="http://schemas.openxmlformats.org/officeDocument/2006/relationships" ref="M651" ns654:id="rId656"/>
    <x:hyperlink xmlns:ns655="http://schemas.openxmlformats.org/officeDocument/2006/relationships" ref="M652" ns655:id="rId657"/>
    <x:hyperlink xmlns:ns656="http://schemas.openxmlformats.org/officeDocument/2006/relationships" ref="M653" ns656:id="rId658"/>
    <x:hyperlink xmlns:ns657="http://schemas.openxmlformats.org/officeDocument/2006/relationships" ref="M654" ns657:id="rId659"/>
    <x:hyperlink xmlns:ns658="http://schemas.openxmlformats.org/officeDocument/2006/relationships" ref="M655" ns658:id="rId660"/>
    <x:hyperlink xmlns:ns659="http://schemas.openxmlformats.org/officeDocument/2006/relationships" ref="M656" ns659:id="rId661"/>
    <x:hyperlink xmlns:ns660="http://schemas.openxmlformats.org/officeDocument/2006/relationships" ref="M657" ns660:id="rId662"/>
    <x:hyperlink xmlns:ns661="http://schemas.openxmlformats.org/officeDocument/2006/relationships" ref="M658" ns661:id="rId663"/>
    <x:hyperlink xmlns:ns662="http://schemas.openxmlformats.org/officeDocument/2006/relationships" ref="M659" ns662:id="rId664"/>
    <x:hyperlink xmlns:ns663="http://schemas.openxmlformats.org/officeDocument/2006/relationships" ref="M660" ns663:id="rId665"/>
    <x:hyperlink xmlns:ns664="http://schemas.openxmlformats.org/officeDocument/2006/relationships" ref="M661" ns664:id="rId666"/>
    <x:hyperlink xmlns:ns665="http://schemas.openxmlformats.org/officeDocument/2006/relationships" ref="M662" ns665:id="rId667"/>
    <x:hyperlink xmlns:ns666="http://schemas.openxmlformats.org/officeDocument/2006/relationships" ref="M663" ns666:id="rId668"/>
    <x:hyperlink xmlns:ns667="http://schemas.openxmlformats.org/officeDocument/2006/relationships" ref="M664" ns667:id="rId669"/>
    <x:hyperlink xmlns:ns668="http://schemas.openxmlformats.org/officeDocument/2006/relationships" ref="M665" ns668:id="rId670"/>
    <x:hyperlink xmlns:ns669="http://schemas.openxmlformats.org/officeDocument/2006/relationships" ref="M666" ns669:id="rId671"/>
    <x:hyperlink xmlns:ns670="http://schemas.openxmlformats.org/officeDocument/2006/relationships" ref="M667" ns670:id="rId672"/>
    <x:hyperlink xmlns:ns671="http://schemas.openxmlformats.org/officeDocument/2006/relationships" ref="M668" ns671:id="rId673"/>
    <x:hyperlink xmlns:ns672="http://schemas.openxmlformats.org/officeDocument/2006/relationships" ref="M669" ns672:id="rId674"/>
    <x:hyperlink xmlns:ns673="http://schemas.openxmlformats.org/officeDocument/2006/relationships" ref="M670" ns673:id="rId675"/>
    <x:hyperlink xmlns:ns674="http://schemas.openxmlformats.org/officeDocument/2006/relationships" ref="M671" ns674:id="rId676"/>
    <x:hyperlink xmlns:ns675="http://schemas.openxmlformats.org/officeDocument/2006/relationships" ref="M672" ns675:id="rId677"/>
    <x:hyperlink xmlns:ns676="http://schemas.openxmlformats.org/officeDocument/2006/relationships" ref="M673" ns676:id="rId678"/>
    <x:hyperlink xmlns:ns677="http://schemas.openxmlformats.org/officeDocument/2006/relationships" ref="M674" ns677:id="rId679"/>
    <x:hyperlink xmlns:ns678="http://schemas.openxmlformats.org/officeDocument/2006/relationships" ref="M675" ns678:id="rId680"/>
    <x:hyperlink xmlns:ns679="http://schemas.openxmlformats.org/officeDocument/2006/relationships" ref="M676" ns679:id="rId681"/>
    <x:hyperlink xmlns:ns680="http://schemas.openxmlformats.org/officeDocument/2006/relationships" ref="M677" ns680:id="rId682"/>
    <x:hyperlink xmlns:ns681="http://schemas.openxmlformats.org/officeDocument/2006/relationships" ref="M678" ns681:id="rId683"/>
    <x:hyperlink xmlns:ns682="http://schemas.openxmlformats.org/officeDocument/2006/relationships" ref="M679" ns682:id="rId684"/>
    <x:hyperlink xmlns:ns683="http://schemas.openxmlformats.org/officeDocument/2006/relationships" ref="M680" ns683:id="rId685"/>
    <x:hyperlink xmlns:ns684="http://schemas.openxmlformats.org/officeDocument/2006/relationships" ref="M681" ns684:id="rId686"/>
    <x:hyperlink xmlns:ns685="http://schemas.openxmlformats.org/officeDocument/2006/relationships" ref="M682" ns685:id="rId687"/>
    <x:hyperlink xmlns:ns686="http://schemas.openxmlformats.org/officeDocument/2006/relationships" ref="M683" ns686:id="rId688"/>
    <x:hyperlink xmlns:ns687="http://schemas.openxmlformats.org/officeDocument/2006/relationships" ref="M684" ns687:id="rId689"/>
    <x:hyperlink xmlns:ns688="http://schemas.openxmlformats.org/officeDocument/2006/relationships" ref="M685" ns688:id="rId690"/>
    <x:hyperlink xmlns:ns689="http://schemas.openxmlformats.org/officeDocument/2006/relationships" ref="M686" ns689:id="rId691"/>
    <x:hyperlink xmlns:ns690="http://schemas.openxmlformats.org/officeDocument/2006/relationships" ref="M687" ns690:id="rId692"/>
    <x:hyperlink xmlns:ns691="http://schemas.openxmlformats.org/officeDocument/2006/relationships" ref="M688" ns691:id="rId693"/>
    <x:hyperlink xmlns:ns692="http://schemas.openxmlformats.org/officeDocument/2006/relationships" ref="M689" ns692:id="rId694"/>
    <x:hyperlink xmlns:ns693="http://schemas.openxmlformats.org/officeDocument/2006/relationships" ref="M690" ns693:id="rId695"/>
    <x:hyperlink xmlns:ns694="http://schemas.openxmlformats.org/officeDocument/2006/relationships" ref="M691" ns694:id="rId696"/>
    <x:hyperlink xmlns:ns695="http://schemas.openxmlformats.org/officeDocument/2006/relationships" ref="M692" ns695:id="rId697"/>
    <x:hyperlink xmlns:ns696="http://schemas.openxmlformats.org/officeDocument/2006/relationships" ref="M693" ns696:id="rId698"/>
    <x:hyperlink xmlns:ns697="http://schemas.openxmlformats.org/officeDocument/2006/relationships" ref="M694" ns697:id="rId699"/>
    <x:hyperlink xmlns:ns698="http://schemas.openxmlformats.org/officeDocument/2006/relationships" ref="M695" ns698:id="rId700"/>
    <x:hyperlink xmlns:ns699="http://schemas.openxmlformats.org/officeDocument/2006/relationships" ref="M696" ns699:id="rId701"/>
    <x:hyperlink xmlns:ns700="http://schemas.openxmlformats.org/officeDocument/2006/relationships" ref="M697" ns700:id="rId702"/>
    <x:hyperlink xmlns:ns701="http://schemas.openxmlformats.org/officeDocument/2006/relationships" ref="M698" ns701:id="rId703"/>
    <x:hyperlink xmlns:ns702="http://schemas.openxmlformats.org/officeDocument/2006/relationships" ref="M699" ns702:id="rId704"/>
    <x:hyperlink xmlns:ns703="http://schemas.openxmlformats.org/officeDocument/2006/relationships" ref="M700" ns703:id="rId705"/>
    <x:hyperlink xmlns:ns704="http://schemas.openxmlformats.org/officeDocument/2006/relationships" ref="M701" ns704:id="rId706"/>
    <x:hyperlink xmlns:ns705="http://schemas.openxmlformats.org/officeDocument/2006/relationships" ref="M702" ns705:id="rId707"/>
    <x:hyperlink xmlns:ns706="http://schemas.openxmlformats.org/officeDocument/2006/relationships" ref="M703" ns706:id="rId708"/>
    <x:hyperlink xmlns:ns707="http://schemas.openxmlformats.org/officeDocument/2006/relationships" ref="M704" ns707:id="rId709"/>
    <x:hyperlink xmlns:ns708="http://schemas.openxmlformats.org/officeDocument/2006/relationships" ref="M705" ns708:id="rId710"/>
    <x:hyperlink xmlns:ns709="http://schemas.openxmlformats.org/officeDocument/2006/relationships" ref="M706" ns709:id="rId711"/>
    <x:hyperlink xmlns:ns710="http://schemas.openxmlformats.org/officeDocument/2006/relationships" ref="M707" ns710:id="rId712"/>
    <x:hyperlink xmlns:ns711="http://schemas.openxmlformats.org/officeDocument/2006/relationships" ref="M708" ns711:id="rId713"/>
    <x:hyperlink xmlns:ns712="http://schemas.openxmlformats.org/officeDocument/2006/relationships" ref="M709" ns712:id="rId714"/>
    <x:hyperlink xmlns:ns713="http://schemas.openxmlformats.org/officeDocument/2006/relationships" ref="M710" ns713:id="rId715"/>
    <x:hyperlink xmlns:ns714="http://schemas.openxmlformats.org/officeDocument/2006/relationships" ref="M711" ns714:id="rId716"/>
    <x:hyperlink xmlns:ns715="http://schemas.openxmlformats.org/officeDocument/2006/relationships" ref="M712" ns715:id="rId717"/>
    <x:hyperlink xmlns:ns716="http://schemas.openxmlformats.org/officeDocument/2006/relationships" ref="M713" ns716:id="rId718"/>
    <x:hyperlink xmlns:ns717="http://schemas.openxmlformats.org/officeDocument/2006/relationships" ref="M714" ns717:id="rId719"/>
    <x:hyperlink xmlns:ns718="http://schemas.openxmlformats.org/officeDocument/2006/relationships" ref="M715" ns718:id="rId720"/>
    <x:hyperlink xmlns:ns719="http://schemas.openxmlformats.org/officeDocument/2006/relationships" ref="M716" ns719:id="rId721"/>
    <x:hyperlink xmlns:ns720="http://schemas.openxmlformats.org/officeDocument/2006/relationships" ref="M717" ns720:id="rId722"/>
    <x:hyperlink xmlns:ns721="http://schemas.openxmlformats.org/officeDocument/2006/relationships" ref="M718" ns721:id="rId723"/>
    <x:hyperlink xmlns:ns722="http://schemas.openxmlformats.org/officeDocument/2006/relationships" ref="M719" ns722:id="rId724"/>
    <x:hyperlink xmlns:ns723="http://schemas.openxmlformats.org/officeDocument/2006/relationships" ref="M720" ns723:id="rId725"/>
    <x:hyperlink xmlns:ns724="http://schemas.openxmlformats.org/officeDocument/2006/relationships" ref="M721" ns724:id="rId726"/>
    <x:hyperlink xmlns:ns725="http://schemas.openxmlformats.org/officeDocument/2006/relationships" ref="M722" ns725:id="rId727"/>
    <x:hyperlink xmlns:ns726="http://schemas.openxmlformats.org/officeDocument/2006/relationships" ref="M723" ns726:id="rId728"/>
    <x:hyperlink xmlns:ns727="http://schemas.openxmlformats.org/officeDocument/2006/relationships" ref="M724" ns727:id="rId729"/>
    <x:hyperlink xmlns:ns728="http://schemas.openxmlformats.org/officeDocument/2006/relationships" ref="M725" ns728:id="rId730"/>
    <x:hyperlink xmlns:ns729="http://schemas.openxmlformats.org/officeDocument/2006/relationships" ref="M726" ns729:id="rId731"/>
    <x:hyperlink xmlns:ns730="http://schemas.openxmlformats.org/officeDocument/2006/relationships" ref="M727" ns730:id="rId732"/>
    <x:hyperlink xmlns:ns731="http://schemas.openxmlformats.org/officeDocument/2006/relationships" ref="M728" ns731:id="rId733"/>
    <x:hyperlink xmlns:ns732="http://schemas.openxmlformats.org/officeDocument/2006/relationships" ref="M729" ns732:id="rId734"/>
    <x:hyperlink xmlns:ns733="http://schemas.openxmlformats.org/officeDocument/2006/relationships" ref="M730" ns733:id="rId735"/>
    <x:hyperlink xmlns:ns734="http://schemas.openxmlformats.org/officeDocument/2006/relationships" ref="M731" ns734:id="rId736"/>
    <x:hyperlink xmlns:ns735="http://schemas.openxmlformats.org/officeDocument/2006/relationships" ref="M732" ns735:id="rId737"/>
    <x:hyperlink xmlns:ns736="http://schemas.openxmlformats.org/officeDocument/2006/relationships" ref="M733" ns736:id="rId738"/>
    <x:hyperlink xmlns:ns737="http://schemas.openxmlformats.org/officeDocument/2006/relationships" ref="M734" ns737:id="rId739"/>
    <x:hyperlink xmlns:ns738="http://schemas.openxmlformats.org/officeDocument/2006/relationships" ref="M735" ns738:id="rId740"/>
    <x:hyperlink xmlns:ns739="http://schemas.openxmlformats.org/officeDocument/2006/relationships" ref="M736" ns739:id="rId741"/>
    <x:hyperlink xmlns:ns740="http://schemas.openxmlformats.org/officeDocument/2006/relationships" ref="M737" ns740:id="rId742"/>
    <x:hyperlink xmlns:ns741="http://schemas.openxmlformats.org/officeDocument/2006/relationships" ref="M738" ns741:id="rId743"/>
    <x:hyperlink xmlns:ns742="http://schemas.openxmlformats.org/officeDocument/2006/relationships" ref="M739" ns742:id="rId744"/>
    <x:hyperlink xmlns:ns743="http://schemas.openxmlformats.org/officeDocument/2006/relationships" ref="M740" ns743:id="rId745"/>
    <x:hyperlink xmlns:ns744="http://schemas.openxmlformats.org/officeDocument/2006/relationships" ref="M741" ns744:id="rId746"/>
    <x:hyperlink xmlns:ns745="http://schemas.openxmlformats.org/officeDocument/2006/relationships" ref="M742" ns745:id="rId747"/>
    <x:hyperlink xmlns:ns746="http://schemas.openxmlformats.org/officeDocument/2006/relationships" ref="M743" ns746:id="rId748"/>
    <x:hyperlink xmlns:ns747="http://schemas.openxmlformats.org/officeDocument/2006/relationships" ref="M744" ns747:id="rId749"/>
    <x:hyperlink xmlns:ns748="http://schemas.openxmlformats.org/officeDocument/2006/relationships" ref="M745" ns748:id="rId750"/>
    <x:hyperlink xmlns:ns749="http://schemas.openxmlformats.org/officeDocument/2006/relationships" ref="M746" ns749:id="rId751"/>
    <x:hyperlink xmlns:ns750="http://schemas.openxmlformats.org/officeDocument/2006/relationships" ref="M747" ns750:id="rId752"/>
    <x:hyperlink xmlns:ns751="http://schemas.openxmlformats.org/officeDocument/2006/relationships" ref="M748" ns751:id="rId753"/>
    <x:hyperlink xmlns:ns752="http://schemas.openxmlformats.org/officeDocument/2006/relationships" ref="M749" ns752:id="rId754"/>
    <x:hyperlink xmlns:ns753="http://schemas.openxmlformats.org/officeDocument/2006/relationships" ref="M750" ns753:id="rId755"/>
    <x:hyperlink xmlns:ns754="http://schemas.openxmlformats.org/officeDocument/2006/relationships" ref="M751" ns754:id="rId756"/>
    <x:hyperlink xmlns:ns755="http://schemas.openxmlformats.org/officeDocument/2006/relationships" ref="M752" ns755:id="rId757"/>
    <x:hyperlink xmlns:ns756="http://schemas.openxmlformats.org/officeDocument/2006/relationships" ref="M753" ns756:id="rId758"/>
    <x:hyperlink xmlns:ns757="http://schemas.openxmlformats.org/officeDocument/2006/relationships" ref="M754" ns757:id="rId759"/>
    <x:hyperlink xmlns:ns758="http://schemas.openxmlformats.org/officeDocument/2006/relationships" ref="M755" ns758:id="rId760"/>
    <x:hyperlink xmlns:ns759="http://schemas.openxmlformats.org/officeDocument/2006/relationships" ref="M756" ns759:id="rId761"/>
    <x:hyperlink xmlns:ns760="http://schemas.openxmlformats.org/officeDocument/2006/relationships" ref="M757" ns760:id="rId762"/>
    <x:hyperlink xmlns:ns761="http://schemas.openxmlformats.org/officeDocument/2006/relationships" ref="M758" ns761:id="rId763"/>
    <x:hyperlink xmlns:ns762="http://schemas.openxmlformats.org/officeDocument/2006/relationships" ref="M759" ns762:id="rId764"/>
    <x:hyperlink xmlns:ns763="http://schemas.openxmlformats.org/officeDocument/2006/relationships" ref="M760" ns763:id="rId765"/>
    <x:hyperlink xmlns:ns764="http://schemas.openxmlformats.org/officeDocument/2006/relationships" ref="M761" ns764:id="rId766"/>
    <x:hyperlink xmlns:ns765="http://schemas.openxmlformats.org/officeDocument/2006/relationships" ref="M762" ns765:id="rId767"/>
    <x:hyperlink xmlns:ns766="http://schemas.openxmlformats.org/officeDocument/2006/relationships" ref="M763" ns766:id="rId768"/>
    <x:hyperlink xmlns:ns767="http://schemas.openxmlformats.org/officeDocument/2006/relationships" ref="M764" ns767:id="rId769"/>
    <x:hyperlink xmlns:ns768="http://schemas.openxmlformats.org/officeDocument/2006/relationships" ref="M765" ns768:id="rId770"/>
    <x:hyperlink xmlns:ns769="http://schemas.openxmlformats.org/officeDocument/2006/relationships" ref="M766" ns769:id="rId771"/>
    <x:hyperlink xmlns:ns770="http://schemas.openxmlformats.org/officeDocument/2006/relationships" ref="M767" ns770:id="rId772"/>
    <x:hyperlink xmlns:ns771="http://schemas.openxmlformats.org/officeDocument/2006/relationships" ref="M768" ns771:id="rId773"/>
    <x:hyperlink xmlns:ns772="http://schemas.openxmlformats.org/officeDocument/2006/relationships" ref="M769" ns772:id="rId774"/>
    <x:hyperlink xmlns:ns773="http://schemas.openxmlformats.org/officeDocument/2006/relationships" ref="M770" ns773:id="rId775"/>
    <x:hyperlink xmlns:ns774="http://schemas.openxmlformats.org/officeDocument/2006/relationships" ref="M771" ns774:id="rId776"/>
    <x:hyperlink xmlns:ns775="http://schemas.openxmlformats.org/officeDocument/2006/relationships" ref="M772" ns775:id="rId777"/>
    <x:hyperlink xmlns:ns776="http://schemas.openxmlformats.org/officeDocument/2006/relationships" ref="M773" ns776:id="rId778"/>
    <x:hyperlink xmlns:ns777="http://schemas.openxmlformats.org/officeDocument/2006/relationships" ref="M774" ns777:id="rId779"/>
    <x:hyperlink xmlns:ns778="http://schemas.openxmlformats.org/officeDocument/2006/relationships" ref="M775" ns778:id="rId780"/>
    <x:hyperlink xmlns:ns779="http://schemas.openxmlformats.org/officeDocument/2006/relationships" ref="M776" ns779:id="rId781"/>
    <x:hyperlink xmlns:ns780="http://schemas.openxmlformats.org/officeDocument/2006/relationships" ref="M777" ns780:id="rId782"/>
    <x:hyperlink xmlns:ns781="http://schemas.openxmlformats.org/officeDocument/2006/relationships" ref="M778" ns781:id="rId783"/>
    <x:hyperlink xmlns:ns782="http://schemas.openxmlformats.org/officeDocument/2006/relationships" ref="M779" ns782:id="rId784"/>
    <x:hyperlink xmlns:ns783="http://schemas.openxmlformats.org/officeDocument/2006/relationships" ref="M780" ns783:id="rId785"/>
    <x:hyperlink xmlns:ns784="http://schemas.openxmlformats.org/officeDocument/2006/relationships" ref="M781" ns784:id="rId786"/>
    <x:hyperlink xmlns:ns785="http://schemas.openxmlformats.org/officeDocument/2006/relationships" ref="M782" ns785:id="rId787"/>
    <x:hyperlink xmlns:ns786="http://schemas.openxmlformats.org/officeDocument/2006/relationships" ref="M783" ns786:id="rId788"/>
    <x:hyperlink xmlns:ns787="http://schemas.openxmlformats.org/officeDocument/2006/relationships" ref="M784" ns787:id="rId789"/>
    <x:hyperlink xmlns:ns788="http://schemas.openxmlformats.org/officeDocument/2006/relationships" ref="M785" ns788:id="rId790"/>
    <x:hyperlink xmlns:ns789="http://schemas.openxmlformats.org/officeDocument/2006/relationships" ref="M786" ns789:id="rId791"/>
    <x:hyperlink xmlns:ns790="http://schemas.openxmlformats.org/officeDocument/2006/relationships" ref="M787" ns790:id="rId792"/>
    <x:hyperlink xmlns:ns791="http://schemas.openxmlformats.org/officeDocument/2006/relationships" ref="M788" ns791:id="rId793"/>
    <x:hyperlink xmlns:ns792="http://schemas.openxmlformats.org/officeDocument/2006/relationships" ref="M789" ns792:id="rId794"/>
    <x:hyperlink xmlns:ns793="http://schemas.openxmlformats.org/officeDocument/2006/relationships" ref="M790" ns793:id="rId795"/>
    <x:hyperlink xmlns:ns794="http://schemas.openxmlformats.org/officeDocument/2006/relationships" ref="M791" ns794:id="rId796"/>
    <x:hyperlink xmlns:ns795="http://schemas.openxmlformats.org/officeDocument/2006/relationships" ref="M792" ns795:id="rId797"/>
    <x:hyperlink xmlns:ns796="http://schemas.openxmlformats.org/officeDocument/2006/relationships" ref="M793" ns796:id="rId798"/>
    <x:hyperlink xmlns:ns797="http://schemas.openxmlformats.org/officeDocument/2006/relationships" ref="M794" ns797:id="rId799"/>
  </x:hyperlinks>
  <x:pageMargins left="0.7" right="0.7" top="0.75" bottom="0.75" header="0.3" footer="0.3"/>
  <x:tableParts count="1">
    <x:tablePart xmlns:r="http://schemas.openxmlformats.org/officeDocument/2006/relationships" r:id="Rf036279b05d84c5b"/>
  </x:tableParts>
</x:worksheet>
</file>

<file path=xl/worksheets/sheet4.xml><?xml version="1.0" encoding="utf-8"?>
<x:worksheet xmlns:x="http://schemas.openxmlformats.org/spreadsheetml/2006/main">
  <x:sheetPr>
    <x:tabColor rgb="FF163D30"/>
  </x:sheetPr>
  <x:sheetViews>
    <x:sheetView showGridLines="0" workbookViewId="0">
      <x:pane xSplit="3" ySplit="4" topLeftCell="D5" activePane="bottomRight" state="frozen"/>
    </x:sheetView>
  </x:sheetViews>
  <x:sheetFormatPr defaultRowHeight="15"/>
  <x:cols>
    <x:col min="1" max="1" width="12" hidden="0" customWidth="1"/>
    <x:col min="2" max="2" width="12" hidden="0" customWidth="1"/>
    <x:col min="3" max="3" width="20" hidden="0" customWidth="1"/>
    <x:col min="4" max="4" width="65" hidden="0" customWidth="1"/>
    <x:col min="5" max="5" width="3" hidden="0" customWidth="1"/>
    <x:col min="6" max="6" width="65" hidden="0" customWidth="1"/>
  </x:cols>
  <x:sheetData>
    <x:row r="1" ht="34" customHeight="1">
      <x:c r="A1" s="4" t="str">
        <x:v>Все участники групп сравнения</x:v>
      </x:c>
      <x:c r="B1" s="4"/>
      <x:c r="C1" s="4"/>
      <x:c r="D1" s="4"/>
      <x:c r="E1" s="4"/>
      <x:c r="F1" s="4"/>
    </x:row>
    <x:row r="2" ht="40" customHeight="1">
      <x:c r="A2" s="3" t="str">
        <x:v>Отфильтруйте код группы, затем сравните компании. Один товар может присутствовать в нескольких группах. Ограничения обязательны: см. лист «Сопоставления».</x:v>
      </x:c>
      <x:c r="B2" s="3"/>
      <x:c r="C2" s="3"/>
      <x:c r="D2" s="3"/>
      <x:c r="E2" s="3"/>
      <x:c r="F2" s="3"/>
    </x:row>
    <x:row r="3" ht="26" customHeight="1">
      <x:c r="A3" s="3"/>
      <x:c r="B3" s="3"/>
      <x:c r="C3" s="3"/>
      <x:c r="D3" s="3"/>
      <x:c r="E3" s="3"/>
      <x:c r="F3" s="3"/>
    </x:row>
    <x:row r="4" ht="40" customHeight="1">
      <x:c r="A4" s="15" t="str">
        <x:v>Код группы</x:v>
      </x:c>
      <x:c r="B4" s="15" t="str">
        <x:v>ID товара</x:v>
      </x:c>
      <x:c r="C4" s="15" t="str">
        <x:v>Компания / каталог</x:v>
      </x:c>
      <x:c r="D4" s="15" t="str">
        <x:v>Товар</x:v>
      </x:c>
      <x:c r="E4" s="15" t="str">
        <x:v>·</x:v>
      </x:c>
      <x:c r="F4" s="15" t="str">
        <x:v>Источник</x:v>
      </x:c>
    </x:row>
    <x:row r="5" ht="62" customHeight="1">
      <x:c r="A5" s="9" t="str">
        <x:v>G01</x:v>
      </x:c>
      <x:c r="B5" s="9" t="str">
        <x:v>P0001</x:v>
      </x:c>
      <x:c r="C5" s="9" t="str">
        <x:v>Аминосил</x:v>
      </x:c>
      <x:c r="D5" s="9" t="str">
        <x:v>Витамины для атмосферных тилландсий в форме спрея</x:v>
      </x:c>
      <x:c r="E5" s="9"/>
      <x:c r="F5" s="11" t="str">
        <x:v>https://aminosil.ru/vitamini-dlya-atmosfernyh-tillandsiy-v-forme-spreya</x:v>
      </x:c>
    </x:row>
    <x:row r="6" ht="62" customHeight="1">
      <x:c r="A6" s="9" t="str">
        <x:v>G01</x:v>
      </x:c>
      <x:c r="B6" s="9" t="str">
        <x:v>P0002</x:v>
      </x:c>
      <x:c r="C6" s="9" t="str">
        <x:v>Аминосил</x:v>
      </x:c>
      <x:c r="D6" s="9" t="str">
        <x:v>Витамины для газона в гранулах</x:v>
      </x:c>
      <x:c r="E6" s="9"/>
      <x:c r="F6" s="11" t="str">
        <x:v>https://aminosil.ru/vitamini-dlya-gazona-v-granulah</x:v>
      </x:c>
    </x:row>
    <x:row r="7" ht="62" customHeight="1">
      <x:c r="A7" s="9" t="str">
        <x:v>G01</x:v>
      </x:c>
      <x:c r="B7" s="9" t="str">
        <x:v>P0003</x:v>
      </x:c>
      <x:c r="C7" s="9" t="str">
        <x:v>Аминосил</x:v>
      </x:c>
      <x:c r="D7" s="9" t="str">
        <x:v>Витамины для газонов в форме концентрата</x:v>
      </x:c>
      <x:c r="E7" s="9"/>
      <x:c r="F7" s="11" t="str">
        <x:v>https://aminosil.ru/vitamini-dlya-gazonov-v-forme-kontsentrata</x:v>
      </x:c>
    </x:row>
    <x:row r="8" ht="62" customHeight="1">
      <x:c r="A8" s="9" t="str">
        <x:v>G01</x:v>
      </x:c>
      <x:c r="B8" s="9" t="str">
        <x:v>P0004</x:v>
      </x:c>
      <x:c r="C8" s="9" t="str">
        <x:v>Аминосил</x:v>
      </x:c>
      <x:c r="D8" s="9" t="str">
        <x:v>Витамины для голубики в форме гранул</x:v>
      </x:c>
      <x:c r="E8" s="9"/>
      <x:c r="F8" s="11" t="str">
        <x:v>https://aminosil.ru/vitaminy-dlya-golubiki-v-forme-granul</x:v>
      </x:c>
    </x:row>
    <x:row r="9" ht="62" customHeight="1">
      <x:c r="A9" s="9" t="str">
        <x:v>G01</x:v>
      </x:c>
      <x:c r="B9" s="9" t="str">
        <x:v>P0005</x:v>
      </x:c>
      <x:c r="C9" s="9" t="str">
        <x:v>Аминосил</x:v>
      </x:c>
      <x:c r="D9" s="9" t="str">
        <x:v>Витамины для голубики в форме концентрата</x:v>
      </x:c>
      <x:c r="E9" s="9"/>
      <x:c r="F9" s="11" t="str">
        <x:v>https://aminosil.ru/vitamini-dlya-golubiki-v-forme-kontsentrata</x:v>
      </x:c>
    </x:row>
    <x:row r="10" ht="62" customHeight="1">
      <x:c r="A10" s="9" t="str">
        <x:v>G01</x:v>
      </x:c>
      <x:c r="B10" s="9" t="str">
        <x:v>P0006</x:v>
      </x:c>
      <x:c r="C10" s="9" t="str">
        <x:v>Аминосил</x:v>
      </x:c>
      <x:c r="D10" s="9" t="str">
        <x:v>Витамины для гортензий и азалий в форме геля</x:v>
      </x:c>
      <x:c r="E10" s="9"/>
      <x:c r="F10" s="11" t="str">
        <x:v>https://aminosil.ru/vitamini-dlya-gortenzii-i-azalii-v-forme-gelya</x:v>
      </x:c>
    </x:row>
    <x:row r="11" ht="62" customHeight="1">
      <x:c r="A11" s="9" t="str">
        <x:v>G01</x:v>
      </x:c>
      <x:c r="B11" s="9" t="str">
        <x:v>P0007</x:v>
      </x:c>
      <x:c r="C11" s="9" t="str">
        <x:v>Аминосил</x:v>
      </x:c>
      <x:c r="D11" s="9" t="str">
        <x:v>Витамины для гортензий и азалий в форме гранул</x:v>
      </x:c>
      <x:c r="E11" s="9"/>
      <x:c r="F11" s="11" t="str">
        <x:v>https://aminosil.ru/vitamini-dlya-gortenzii-i-azalii-v-forme-granul</x:v>
      </x:c>
    </x:row>
    <x:row r="12" ht="62" customHeight="1">
      <x:c r="A12" s="9" t="str">
        <x:v>G01</x:v>
      </x:c>
      <x:c r="B12" s="9" t="str">
        <x:v>P0008</x:v>
      </x:c>
      <x:c r="C12" s="9" t="str">
        <x:v>Аминосил</x:v>
      </x:c>
      <x:c r="D12" s="9" t="str">
        <x:v>Витамины для гортензий и азалий в форме концентрата</x:v>
      </x:c>
      <x:c r="E12" s="9"/>
      <x:c r="F12" s="11" t="str">
        <x:v>https://aminosil.ru/vitamini-dlya-gortenzii-i-azalii-forme-k</x:v>
      </x:c>
    </x:row>
    <x:row r="13" ht="62" customHeight="1">
      <x:c r="A13" s="9" t="str">
        <x:v>G01</x:v>
      </x:c>
      <x:c r="B13" s="9" t="str">
        <x:v>P0009</x:v>
      </x:c>
      <x:c r="C13" s="9" t="str">
        <x:v>Аминосил</x:v>
      </x:c>
      <x:c r="D13" s="9" t="str">
        <x:v>Витамины для декоративно-лиственных растений в форме геля</x:v>
      </x:c>
      <x:c r="E13" s="9"/>
      <x:c r="F13" s="11" t="str">
        <x:v>https://aminosil.ru/vitamini-dlya-dekorativno-listvennih-rasteniy-gel</x:v>
      </x:c>
    </x:row>
    <x:row r="14" ht="62" customHeight="1">
      <x:c r="A14" s="9" t="str">
        <x:v>G01</x:v>
      </x:c>
      <x:c r="B14" s="9" t="str">
        <x:v>P0010</x:v>
      </x:c>
      <x:c r="C14" s="9" t="str">
        <x:v>Аминосил</x:v>
      </x:c>
      <x:c r="D14" s="9" t="str">
        <x:v>Витамины для декоративно-лиственных растений в форме гранул</x:v>
      </x:c>
      <x:c r="E14" s="9"/>
      <x:c r="F14" s="11" t="str">
        <x:v>https://aminosil.ru/vitamini-dlya-dekorativno-listvennih-rasteniy-v-granulah</x:v>
      </x:c>
    </x:row>
    <x:row r="15" ht="62" customHeight="1">
      <x:c r="A15" s="9" t="str">
        <x:v>G01</x:v>
      </x:c>
      <x:c r="B15" s="9" t="str">
        <x:v>P0011</x:v>
      </x:c>
      <x:c r="C15" s="9" t="str">
        <x:v>Аминосил</x:v>
      </x:c>
      <x:c r="D15" s="9" t="str">
        <x:v>Витамины для декоративно-лиственных растений в форме концентрата</x:v>
      </x:c>
      <x:c r="E15" s="9"/>
      <x:c r="F15" s="11" t="str">
        <x:v>https://aminosil.ru/vitamini-dlya-dekorativno-listvennih-rasteniy-koncentrat</x:v>
      </x:c>
    </x:row>
    <x:row r="16" ht="62" customHeight="1">
      <x:c r="A16" s="9" t="str">
        <x:v>G01</x:v>
      </x:c>
      <x:c r="B16" s="9" t="str">
        <x:v>P0012</x:v>
      </x:c>
      <x:c r="C16" s="9" t="str">
        <x:v>Аминосил</x:v>
      </x:c>
      <x:c r="D16" s="9" t="str">
        <x:v>Витамины для замиокулькаса в форме концентрата</x:v>
      </x:c>
      <x:c r="E16" s="9"/>
      <x:c r="F16" s="11" t="str">
        <x:v>https://aminosil.ru/vitaminy-dlya-zamiokulkasa-v-forme-koncentrata</x:v>
      </x:c>
    </x:row>
    <x:row r="17" ht="62" customHeight="1">
      <x:c r="A17" s="9" t="str">
        <x:v>G01</x:v>
      </x:c>
      <x:c r="B17" s="9" t="str">
        <x:v>P0013</x:v>
      </x:c>
      <x:c r="C17" s="9" t="str">
        <x:v>Аминосил</x:v>
      </x:c>
      <x:c r="D17" s="9" t="str">
        <x:v>Витамины для кактусов и суккулентов в гранулах</x:v>
      </x:c>
      <x:c r="E17" s="9"/>
      <x:c r="F17" s="11" t="str">
        <x:v>https://aminosil.ru/vitamini-dlya-kaktusov-i-sukkulentov-v-granulah</x:v>
      </x:c>
    </x:row>
    <x:row r="18" ht="62" customHeight="1">
      <x:c r="A18" s="9" t="str">
        <x:v>G01</x:v>
      </x:c>
      <x:c r="B18" s="9" t="str">
        <x:v>P0014</x:v>
      </x:c>
      <x:c r="C18" s="9" t="str">
        <x:v>Аминосил</x:v>
      </x:c>
      <x:c r="D18" s="9" t="str">
        <x:v>Витамины для кактусов и суккулентов в форме концентрата</x:v>
      </x:c>
      <x:c r="E18" s="9"/>
      <x:c r="F18" s="11" t="str">
        <x:v>https://aminosil.ru/vitamini-dlya-kaktusov-i-sukkulentov-kontsentrat</x:v>
      </x:c>
    </x:row>
    <x:row r="19" ht="62" customHeight="1">
      <x:c r="A19" s="9" t="str">
        <x:v>G01</x:v>
      </x:c>
      <x:c r="B19" s="9" t="str">
        <x:v>P0015</x:v>
      </x:c>
      <x:c r="C19" s="9" t="str">
        <x:v>Аминосил</x:v>
      </x:c>
      <x:c r="D19" s="9" t="str">
        <x:v>Витамины для клубники в гранулах</x:v>
      </x:c>
      <x:c r="E19" s="9"/>
      <x:c r="F19" s="11" t="str">
        <x:v>https://aminosil.ru/vitamini-dlya-klubniki-v-granulah</x:v>
      </x:c>
    </x:row>
    <x:row r="20" ht="62" customHeight="1">
      <x:c r="A20" s="9" t="str">
        <x:v>G01</x:v>
      </x:c>
      <x:c r="B20" s="9" t="str">
        <x:v>P0016</x:v>
      </x:c>
      <x:c r="C20" s="9" t="str">
        <x:v>Аминосил</x:v>
      </x:c>
      <x:c r="D20" s="9" t="str">
        <x:v>Витамины для клубники в форме концентрата</x:v>
      </x:c>
      <x:c r="E20" s="9"/>
      <x:c r="F20" s="11" t="str">
        <x:v>https://aminosil.ru/vitamini-dlya-klubniki-v-forme-kontsentrata</x:v>
      </x:c>
    </x:row>
    <x:row r="21" ht="62" customHeight="1">
      <x:c r="A21" s="9" t="str">
        <x:v>G01</x:v>
      </x:c>
      <x:c r="B21" s="9" t="str">
        <x:v>P0017</x:v>
      </x:c>
      <x:c r="C21" s="9" t="str">
        <x:v>Аминосил</x:v>
      </x:c>
      <x:c r="D21" s="9" t="str">
        <x:v>Витамины для лука и чеснока в форме концентрата</x:v>
      </x:c>
      <x:c r="E21" s="9"/>
      <x:c r="F21" s="11" t="str">
        <x:v>https://aminosil.ru/vitamini-dlya-luka-i-chesnoka-forme-kontsentrata</x:v>
      </x:c>
    </x:row>
    <x:row r="22" ht="62" customHeight="1">
      <x:c r="A22" s="9" t="str">
        <x:v>G01</x:v>
      </x:c>
      <x:c r="B22" s="9" t="str">
        <x:v>P0018</x:v>
      </x:c>
      <x:c r="C22" s="9" t="str">
        <x:v>Аминосил</x:v>
      </x:c>
      <x:c r="D22" s="9" t="str">
        <x:v>Витамины для овощей в форме гранул</x:v>
      </x:c>
      <x:c r="E22" s="9"/>
      <x:c r="F22" s="11" t="str">
        <x:v>https://aminosil.ru/vitamini-dlya-ovoschei-granulah</x:v>
      </x:c>
    </x:row>
    <x:row r="23" ht="62" customHeight="1">
      <x:c r="A23" s="9" t="str">
        <x:v>G01</x:v>
      </x:c>
      <x:c r="B23" s="9" t="str">
        <x:v>P0019</x:v>
      </x:c>
      <x:c r="C23" s="9" t="str">
        <x:v>Аминосил</x:v>
      </x:c>
      <x:c r="D23" s="9" t="str">
        <x:v>Витамины для овощей в форме концентрата</x:v>
      </x:c>
      <x:c r="E23" s="9"/>
      <x:c r="F23" s="11" t="str">
        <x:v>https://aminosil.ru/vitamini-dlya-ovoschei-v-forme-kontsentrata</x:v>
      </x:c>
    </x:row>
    <x:row r="24" ht="62" customHeight="1">
      <x:c r="A24" s="9" t="str">
        <x:v>G01</x:v>
      </x:c>
      <x:c r="B24" s="9" t="str">
        <x:v>P0020</x:v>
      </x:c>
      <x:c r="C24" s="9" t="str">
        <x:v>Аминосил</x:v>
      </x:c>
      <x:c r="D24" s="9" t="str">
        <x:v>Витамины для овощей и рассады в гранулах</x:v>
      </x:c>
      <x:c r="E24" s="9"/>
      <x:c r="F24" s="11" t="str">
        <x:v>https://aminosil.ru/vitamini-dlya-rassadi-v-granulah</x:v>
      </x:c>
    </x:row>
    <x:row r="25" ht="62" customHeight="1">
      <x:c r="A25" s="9" t="str">
        <x:v>G01</x:v>
      </x:c>
      <x:c r="B25" s="9" t="str">
        <x:v>P0021</x:v>
      </x:c>
      <x:c r="C25" s="9" t="str">
        <x:v>Аминосил</x:v>
      </x:c>
      <x:c r="D25" s="9" t="str">
        <x:v>Витамины для овощей и рассады в форме геля</x:v>
      </x:c>
      <x:c r="E25" s="9"/>
      <x:c r="F25" s="11" t="str">
        <x:v>https://aminosil.ru/vitamini-dlya-ovoschei-i-rassadi-v-forme-gelya</x:v>
      </x:c>
    </x:row>
    <x:row r="26" ht="62" customHeight="1">
      <x:c r="A26" s="9" t="str">
        <x:v>G01</x:v>
      </x:c>
      <x:c r="B26" s="9" t="str">
        <x:v>P0022</x:v>
      </x:c>
      <x:c r="C26" s="9" t="str">
        <x:v>Аминосил</x:v>
      </x:c>
      <x:c r="D26" s="9" t="str">
        <x:v>Витамины для огурцов в форме концентрата</x:v>
      </x:c>
      <x:c r="E26" s="9"/>
      <x:c r="F26" s="11" t="str">
        <x:v>https://aminosil.ru/vitamini-dlya-ogurtsov-v-forme-kontsentrata</x:v>
      </x:c>
    </x:row>
    <x:row r="27" ht="62" customHeight="1">
      <x:c r="A27" s="9" t="str">
        <x:v>G01</x:v>
      </x:c>
      <x:c r="B27" s="9" t="str">
        <x:v>P0023</x:v>
      </x:c>
      <x:c r="C27" s="9" t="str">
        <x:v>Аминосил</x:v>
      </x:c>
      <x:c r="D27" s="9" t="str">
        <x:v>Витамины для огурцов, кабачков и тыквы в гранулах</x:v>
      </x:c>
      <x:c r="E27" s="9"/>
      <x:c r="F27" s="11" t="str">
        <x:v>https://aminosil.ru/vitamini-dlya-ogurtsov-kabachkov-v-granulah</x:v>
      </x:c>
    </x:row>
    <x:row r="28" ht="62" customHeight="1">
      <x:c r="A28" s="9" t="str">
        <x:v>G01</x:v>
      </x:c>
      <x:c r="B28" s="9" t="str">
        <x:v>P0024</x:v>
      </x:c>
      <x:c r="C28" s="9" t="str">
        <x:v>Аминосил</x:v>
      </x:c>
      <x:c r="D28" s="9" t="str">
        <x:v>Витамины для орхидей в гранулах</x:v>
      </x:c>
      <x:c r="E28" s="9"/>
      <x:c r="F28" s="11" t="str">
        <x:v>https://aminosil.ru/vitamini-dlya-orhidei-v-granulah</x:v>
      </x:c>
    </x:row>
    <x:row r="29" ht="62" customHeight="1">
      <x:c r="A29" s="9" t="str">
        <x:v>G01</x:v>
      </x:c>
      <x:c r="B29" s="9" t="str">
        <x:v>P0025</x:v>
      </x:c>
      <x:c r="C29" s="9" t="str">
        <x:v>Аминосил</x:v>
      </x:c>
      <x:c r="D29" s="9" t="str">
        <x:v>Витамины для орхидей в форме геля</x:v>
      </x:c>
      <x:c r="E29" s="9"/>
      <x:c r="F29" s="11" t="str">
        <x:v>https://aminosil.ru/vitamini-dlya-orhidei-v-forme-gelya</x:v>
      </x:c>
    </x:row>
    <x:row r="30" ht="62" customHeight="1">
      <x:c r="A30" s="9" t="str">
        <x:v>G01</x:v>
      </x:c>
      <x:c r="B30" s="9" t="str">
        <x:v>P0026</x:v>
      </x:c>
      <x:c r="C30" s="9" t="str">
        <x:v>Аминосил</x:v>
      </x:c>
      <x:c r="D30" s="9" t="str">
        <x:v>Витамины для орхидей в форме концентрата</x:v>
      </x:c>
      <x:c r="E30" s="9"/>
      <x:c r="F30" s="11" t="str">
        <x:v>https://aminosil.ru/vitamini-dlya-orhidei-v-forme-kontsentra</x:v>
      </x:c>
    </x:row>
    <x:row r="31" ht="62" customHeight="1">
      <x:c r="A31" s="9" t="str">
        <x:v>G01</x:v>
      </x:c>
      <x:c r="B31" s="9" t="str">
        <x:v>P0027</x:v>
      </x:c>
      <x:c r="C31" s="9" t="str">
        <x:v>Аминосил</x:v>
      </x:c>
      <x:c r="D31" s="9" t="str">
        <x:v>Витамины для петуний в форме гранул</x:v>
      </x:c>
      <x:c r="E31" s="9"/>
      <x:c r="F31" s="11" t="str">
        <x:v>https://aminosil.ru/vitamini-dlya-petunii-v-granulah</x:v>
      </x:c>
    </x:row>
    <x:row r="32" ht="62" customHeight="1">
      <x:c r="A32" s="9" t="str">
        <x:v>G01</x:v>
      </x:c>
      <x:c r="B32" s="9" t="str">
        <x:v>P0028</x:v>
      </x:c>
      <x:c r="C32" s="9" t="str">
        <x:v>Аминосил</x:v>
      </x:c>
      <x:c r="D32" s="9" t="str">
        <x:v>Витамины для петуний в форме концентрата</x:v>
      </x:c>
      <x:c r="E32" s="9"/>
      <x:c r="F32" s="11" t="str">
        <x:v>https://aminosil.ru/vitamini-dlya-petunii-v-forme-kontsentra</x:v>
      </x:c>
    </x:row>
    <x:row r="33" ht="62" customHeight="1">
      <x:c r="A33" s="9" t="str">
        <x:v>G01</x:v>
      </x:c>
      <x:c r="B33" s="9" t="str">
        <x:v>P0029</x:v>
      </x:c>
      <x:c r="C33" s="9" t="str">
        <x:v>Аминосил</x:v>
      </x:c>
      <x:c r="D33" s="9" t="str">
        <x:v>Витамины для пионов в форме гранул</x:v>
      </x:c>
      <x:c r="E33" s="9"/>
      <x:c r="F33" s="11" t="str">
        <x:v>https://aminosil.ru/vitamini-dlya-pionov-v-forme-granul</x:v>
      </x:c>
    </x:row>
    <x:row r="34" ht="62" customHeight="1">
      <x:c r="A34" s="9" t="str">
        <x:v>G01</x:v>
      </x:c>
      <x:c r="B34" s="9" t="str">
        <x:v>P0030</x:v>
      </x:c>
      <x:c r="C34" s="9" t="str">
        <x:v>Аминосил</x:v>
      </x:c>
      <x:c r="D34" s="9" t="str">
        <x:v>Витамины для пионов в форме концентрата</x:v>
      </x:c>
      <x:c r="E34" s="9"/>
      <x:c r="F34" s="11" t="str">
        <x:v>https://aminosil.ru/vitamini-dlya-pionov-forme-kontsentrata</x:v>
      </x:c>
    </x:row>
    <x:row r="35" ht="62" customHeight="1">
      <x:c r="A35" s="9" t="str">
        <x:v>G01</x:v>
      </x:c>
      <x:c r="B35" s="9" t="str">
        <x:v>P0031</x:v>
      </x:c>
      <x:c r="C35" s="9" t="str">
        <x:v>Аминосил</x:v>
      </x:c>
      <x:c r="D35" s="9" t="str">
        <x:v>Витамины для рассады в форме концентрата</x:v>
      </x:c>
      <x:c r="E35" s="9"/>
      <x:c r="F35" s="11" t="str">
        <x:v>https://aminosil.ru/vitamini-dlya-rassady-v-forme-kontsentra</x:v>
      </x:c>
    </x:row>
    <x:row r="36" ht="62" customHeight="1">
      <x:c r="A36" s="9" t="str">
        <x:v>G01</x:v>
      </x:c>
      <x:c r="B36" s="9" t="str">
        <x:v>P0032</x:v>
      </x:c>
      <x:c r="C36" s="9" t="str">
        <x:v>Аминосил</x:v>
      </x:c>
      <x:c r="D36" s="9" t="str">
        <x:v>Витамины для роз в гранулах</x:v>
      </x:c>
      <x:c r="E36" s="9"/>
      <x:c r="F36" s="11" t="str">
        <x:v>https://aminosil.ru/vitamini-dlya-roz-v-granulah</x:v>
      </x:c>
    </x:row>
    <x:row r="37" ht="62" customHeight="1">
      <x:c r="A37" s="9" t="str">
        <x:v>G01</x:v>
      </x:c>
      <x:c r="B37" s="9" t="str">
        <x:v>P0033</x:v>
      </x:c>
      <x:c r="C37" s="9" t="str">
        <x:v>Аминосил</x:v>
      </x:c>
      <x:c r="D37" s="9" t="str">
        <x:v>Витамины для роз в форме геля</x:v>
      </x:c>
      <x:c r="E37" s="9"/>
      <x:c r="F37" s="11" t="str">
        <x:v>https://aminosil.ru/vitamini-dlya-roz-v-forme-gelya</x:v>
      </x:c>
    </x:row>
    <x:row r="38" ht="62" customHeight="1">
      <x:c r="A38" s="9" t="str">
        <x:v>G01</x:v>
      </x:c>
      <x:c r="B38" s="9" t="str">
        <x:v>P0034</x:v>
      </x:c>
      <x:c r="C38" s="9" t="str">
        <x:v>Аминосил</x:v>
      </x:c>
      <x:c r="D38" s="9" t="str">
        <x:v>Витамины для роз в форме концентрата</x:v>
      </x:c>
      <x:c r="E38" s="9"/>
      <x:c r="F38" s="11" t="str">
        <x:v>https://aminosil.ru/vitamini-dlya-roz-forme-kontsentrata</x:v>
      </x:c>
    </x:row>
    <x:row r="39" ht="62" customHeight="1">
      <x:c r="A39" s="9" t="str">
        <x:v>G01</x:v>
      </x:c>
      <x:c r="B39" s="9" t="str">
        <x:v>P0035</x:v>
      </x:c>
      <x:c r="C39" s="9" t="str">
        <x:v>Аминосил</x:v>
      </x:c>
      <x:c r="D39" s="9" t="str">
        <x:v>Витамины для томатов в форме концентрата</x:v>
      </x:c>
      <x:c r="E39" s="9"/>
      <x:c r="F39" s="11" t="str">
        <x:v>https://aminosil.ru/vitamini-dlya-tomatov-v-forme-kontsentrata</x:v>
      </x:c>
    </x:row>
    <x:row r="40" ht="62" customHeight="1">
      <x:c r="A40" s="9" t="str">
        <x:v>G01</x:v>
      </x:c>
      <x:c r="B40" s="9" t="str">
        <x:v>P0036</x:v>
      </x:c>
      <x:c r="C40" s="9" t="str">
        <x:v>Аминосил</x:v>
      </x:c>
      <x:c r="D40" s="9" t="str">
        <x:v>Витамины для томатов, баклажанов и перцев в гранулах</x:v>
      </x:c>
      <x:c r="E40" s="9"/>
      <x:c r="F40" s="11" t="str">
        <x:v>https://aminosil.ru/vitamini-dlya-tomatov-percev-v-granulah</x:v>
      </x:c>
    </x:row>
    <x:row r="41" ht="62" customHeight="1">
      <x:c r="A41" s="9" t="str">
        <x:v>G01</x:v>
      </x:c>
      <x:c r="B41" s="9" t="str">
        <x:v>P0037</x:v>
      </x:c>
      <x:c r="C41" s="9" t="str">
        <x:v>Аминосил</x:v>
      </x:c>
      <x:c r="D41" s="9" t="str">
        <x:v>Витамины для туй в форме концентрата</x:v>
      </x:c>
      <x:c r="E41" s="9"/>
      <x:c r="F41" s="11" t="str">
        <x:v>https://aminosil.ru/vitamini-dlya-tui-v-forme-kontsentra</x:v>
      </x:c>
    </x:row>
    <x:row r="42" ht="62" customHeight="1">
      <x:c r="A42" s="9" t="str">
        <x:v>G01</x:v>
      </x:c>
      <x:c r="B42" s="9" t="str">
        <x:v>P0038</x:v>
      </x:c>
      <x:c r="C42" s="9" t="str">
        <x:v>Аминосил</x:v>
      </x:c>
      <x:c r="D42" s="9" t="str">
        <x:v>Витамины для фиалок в форме геля</x:v>
      </x:c>
      <x:c r="E42" s="9"/>
      <x:c r="F42" s="11" t="str">
        <x:v>https://aminosil.ru/vitamini-dlya-fialok-v-forme-gelya</x:v>
      </x:c>
    </x:row>
    <x:row r="43" ht="62" customHeight="1">
      <x:c r="A43" s="9" t="str">
        <x:v>G01</x:v>
      </x:c>
      <x:c r="B43" s="9" t="str">
        <x:v>P0039</x:v>
      </x:c>
      <x:c r="C43" s="9" t="str">
        <x:v>Аминосил</x:v>
      </x:c>
      <x:c r="D43" s="9" t="str">
        <x:v>Витамины для фиалок в форме концентрата</x:v>
      </x:c>
      <x:c r="E43" s="9"/>
      <x:c r="F43" s="11" t="str">
        <x:v>https://aminosil.ru/vitamini-dlya-fialok-v-forme-kontsentrata</x:v>
      </x:c>
    </x:row>
    <x:row r="44" ht="62" customHeight="1">
      <x:c r="A44" s="9" t="str">
        <x:v>G01</x:v>
      </x:c>
      <x:c r="B44" s="9" t="str">
        <x:v>P0040</x:v>
      </x:c>
      <x:c r="C44" s="9" t="str">
        <x:v>Аминосил</x:v>
      </x:c>
      <x:c r="D44" s="9" t="str">
        <x:v>Витамины для фикусов и пальм в форме концентрата</x:v>
      </x:c>
      <x:c r="E44" s="9"/>
      <x:c r="F44" s="11" t="str">
        <x:v>https://aminosil.ru/vitamini-dlya-fikusov-i-palm-v-forme-kontsentrata</x:v>
      </x:c>
    </x:row>
    <x:row r="45" ht="62" customHeight="1">
      <x:c r="A45" s="9" t="str">
        <x:v>G01</x:v>
      </x:c>
      <x:c r="B45" s="9" t="str">
        <x:v>P0041</x:v>
      </x:c>
      <x:c r="C45" s="9" t="str">
        <x:v>Аминосил</x:v>
      </x:c>
      <x:c r="D45" s="9" t="str">
        <x:v>Витамины для хвойных в форме концентрата</x:v>
      </x:c>
      <x:c r="E45" s="9"/>
      <x:c r="F45" s="11" t="str">
        <x:v>https://aminosil.ru/vitamini-dlya-hvoinih-v-forme-kontsentra</x:v>
      </x:c>
    </x:row>
    <x:row r="46" ht="62" customHeight="1">
      <x:c r="A46" s="9" t="str">
        <x:v>G01</x:v>
      </x:c>
      <x:c r="B46" s="9" t="str">
        <x:v>P0042</x:v>
      </x:c>
      <x:c r="C46" s="9" t="str">
        <x:v>Аминосил</x:v>
      </x:c>
      <x:c r="D46" s="9" t="str">
        <x:v>Витамины для хвойных растений в гранулах</x:v>
      </x:c>
      <x:c r="E46" s="9"/>
      <x:c r="F46" s="11" t="str">
        <x:v>https://aminosil.ru/vitamini-dlya-hvoinih-rastenii-v-granulah</x:v>
      </x:c>
    </x:row>
    <x:row r="47" ht="62" customHeight="1">
      <x:c r="A47" s="9" t="str">
        <x:v>G01</x:v>
      </x:c>
      <x:c r="B47" s="9" t="str">
        <x:v>P0043</x:v>
      </x:c>
      <x:c r="C47" s="9" t="str">
        <x:v>Аминосил</x:v>
      </x:c>
      <x:c r="D47" s="9" t="str">
        <x:v>Витамины для хвойных растений в форме геля</x:v>
      </x:c>
      <x:c r="E47" s="9"/>
      <x:c r="F47" s="11" t="str">
        <x:v>https://aminosil.ru/-vitamini-dlya-hvoinih-rastenii-v-forme-gelya</x:v>
      </x:c>
    </x:row>
    <x:row r="48" ht="62" customHeight="1">
      <x:c r="A48" s="9" t="str">
        <x:v>G01</x:v>
      </x:c>
      <x:c r="B48" s="9" t="str">
        <x:v>P0044</x:v>
      </x:c>
      <x:c r="C48" s="9" t="str">
        <x:v>Аминосил</x:v>
      </x:c>
      <x:c r="D48" s="9" t="str">
        <x:v>Витамины для цветов в гранулах</x:v>
      </x:c>
      <x:c r="E48" s="9"/>
      <x:c r="F48" s="11" t="str">
        <x:v>https://aminosil.ru/vitamini-dlya-tsvetov-v-granulah</x:v>
      </x:c>
    </x:row>
    <x:row r="49" ht="62" customHeight="1">
      <x:c r="A49" s="9" t="str">
        <x:v>G01</x:v>
      </x:c>
      <x:c r="B49" s="9" t="str">
        <x:v>P0045</x:v>
      </x:c>
      <x:c r="C49" s="9" t="str">
        <x:v>Аминосил</x:v>
      </x:c>
      <x:c r="D49" s="9" t="str">
        <x:v>Витамины для цветов в форме геля</x:v>
      </x:c>
      <x:c r="E49" s="9"/>
      <x:c r="F49" s="11" t="str">
        <x:v>https://aminosil.ru/vitamini-dlya-tsvetov-v-forme-gelya</x:v>
      </x:c>
    </x:row>
    <x:row r="50" ht="62" customHeight="1">
      <x:c r="A50" s="9" t="str">
        <x:v>G01</x:v>
      </x:c>
      <x:c r="B50" s="9" t="str">
        <x:v>P0046</x:v>
      </x:c>
      <x:c r="C50" s="9" t="str">
        <x:v>Аминосил</x:v>
      </x:c>
      <x:c r="D50" s="9" t="str">
        <x:v>Витамины для цветов в форме концентрата</x:v>
      </x:c>
      <x:c r="E50" s="9"/>
      <x:c r="F50" s="11" t="str">
        <x:v>https://aminosil.ru/vitamini-dlya-tsvetov-forme-kontsentrata</x:v>
      </x:c>
    </x:row>
    <x:row r="51" ht="62" customHeight="1">
      <x:c r="A51" s="9" t="str">
        <x:v>G01</x:v>
      </x:c>
      <x:c r="B51" s="9" t="str">
        <x:v>P0047</x:v>
      </x:c>
      <x:c r="C51" s="9" t="str">
        <x:v>Аминосил</x:v>
      </x:c>
      <x:c r="D51" s="9" t="str">
        <x:v>Витамины для цитрусовых в гранулах</x:v>
      </x:c>
      <x:c r="E51" s="9"/>
      <x:c r="F51" s="11" t="str">
        <x:v>https://aminosil.ru/vitamini-dlya-tsitrusovih-v-granulah</x:v>
      </x:c>
    </x:row>
    <x:row r="52" ht="62" customHeight="1">
      <x:c r="A52" s="9" t="str">
        <x:v>G01</x:v>
      </x:c>
      <x:c r="B52" s="9" t="str">
        <x:v>P0048</x:v>
      </x:c>
      <x:c r="C52" s="9" t="str">
        <x:v>Аминосил</x:v>
      </x:c>
      <x:c r="D52" s="9" t="str">
        <x:v>Витамины для цитрусовых в форме концентрата</x:v>
      </x:c>
      <x:c r="E52" s="9"/>
      <x:c r="F52" s="11" t="str">
        <x:v>https://aminosil.ru/vitamini-dlya-tsitrusovih-v-forme-kontsentrata</x:v>
      </x:c>
    </x:row>
    <x:row r="53" ht="62" customHeight="1">
      <x:c r="A53" s="9" t="str">
        <x:v>G01</x:v>
      </x:c>
      <x:c r="B53" s="9" t="str">
        <x:v>P0049</x:v>
      </x:c>
      <x:c r="C53" s="9" t="str">
        <x:v>Аминосил</x:v>
      </x:c>
      <x:c r="D53" s="9" t="str">
        <x:v>Витамины универсальные в форме геля</x:v>
      </x:c>
      <x:c r="E53" s="9"/>
      <x:c r="F53" s="11" t="str">
        <x:v>https://aminosil.ru/vitamini-universalnie-v-forme-gelya</x:v>
      </x:c>
    </x:row>
    <x:row r="54" ht="62" customHeight="1">
      <x:c r="A54" s="9" t="str">
        <x:v>G01</x:v>
      </x:c>
      <x:c r="B54" s="9" t="str">
        <x:v>P0050</x:v>
      </x:c>
      <x:c r="C54" s="9" t="str">
        <x:v>Аминосил</x:v>
      </x:c>
      <x:c r="D54" s="9" t="str">
        <x:v>Витамины универсальные в форме гранул</x:v>
      </x:c>
      <x:c r="E54" s="9"/>
      <x:c r="F54" s="11" t="str">
        <x:v>https://aminosil.ru/vitamini-universalnie-v-granulah</x:v>
      </x:c>
    </x:row>
    <x:row r="55" ht="62" customHeight="1">
      <x:c r="A55" s="9" t="str">
        <x:v>G01</x:v>
      </x:c>
      <x:c r="B55" s="9" t="str">
        <x:v>P0051</x:v>
      </x:c>
      <x:c r="C55" s="9" t="str">
        <x:v>Аминосил</x:v>
      </x:c>
      <x:c r="D55" s="9" t="str">
        <x:v>Витамины универсальные в форме гранул. Осень.</x:v>
      </x:c>
      <x:c r="E55" s="9"/>
      <x:c r="F55" s="11" t="str">
        <x:v>https://aminosil.ru/vitamini-universalniye-osennie-v-forme-granul</x:v>
      </x:c>
    </x:row>
    <x:row r="56" ht="62" customHeight="1">
      <x:c r="A56" s="9" t="str">
        <x:v>G01</x:v>
      </x:c>
      <x:c r="B56" s="9" t="str">
        <x:v>P0052</x:v>
      </x:c>
      <x:c r="C56" s="9" t="str">
        <x:v>Аминосил</x:v>
      </x:c>
      <x:c r="D56" s="9" t="str">
        <x:v>Витамины универсальные в форме концентрата</x:v>
      </x:c>
      <x:c r="E56" s="9"/>
      <x:c r="F56" s="11" t="str">
        <x:v>https://aminosil.ru/vitamini-universalnie-v-forme-kontsentra</x:v>
      </x:c>
    </x:row>
    <x:row r="57" ht="62" customHeight="1">
      <x:c r="A57" s="9" t="str">
        <x:v>G01</x:v>
      </x:c>
      <x:c r="B57" s="9" t="str">
        <x:v>P0053</x:v>
      </x:c>
      <x:c r="C57" s="9" t="str">
        <x:v>Аминосил</x:v>
      </x:c>
      <x:c r="D57" s="9" t="str">
        <x:v>Витамины универсальные в форме концентрата. Осень.</x:v>
      </x:c>
      <x:c r="E57" s="9"/>
      <x:c r="F57" s="11" t="str">
        <x:v>https://aminosil.ru/vitamini-universalniye-osennie-v-forme-kontsentra</x:v>
      </x:c>
    </x:row>
    <x:row r="58" ht="62" customHeight="1">
      <x:c r="A58" s="9" t="str">
        <x:v>G01</x:v>
      </x:c>
      <x:c r="B58" s="9" t="str">
        <x:v>P0054</x:v>
      </x:c>
      <x:c r="C58" s="9" t="str">
        <x:v>Аминосил</x:v>
      </x:c>
      <x:c r="D58" s="9" t="str">
        <x:v>Спрей Аминосил для гортензий и азалий</x:v>
      </x:c>
      <x:c r="E58" s="9"/>
      <x:c r="F58" s="11" t="str">
        <x:v>https://aminosil.ru/sprei-aminosil-dlya-gortenzii</x:v>
      </x:c>
    </x:row>
    <x:row r="59" ht="62" customHeight="1">
      <x:c r="A59" s="9" t="str">
        <x:v>G01</x:v>
      </x:c>
      <x:c r="B59" s="9" t="str">
        <x:v>P0055</x:v>
      </x:c>
      <x:c r="C59" s="9" t="str">
        <x:v>Аминосил</x:v>
      </x:c>
      <x:c r="D59" s="9" t="str">
        <x:v>Спрей Аминосил для лиственных растений</x:v>
      </x:c>
      <x:c r="E59" s="9"/>
      <x:c r="F59" s="11" t="str">
        <x:v>https://aminosil.ru/sprei-aminosil-dlya-listvennih-rastenii</x:v>
      </x:c>
    </x:row>
    <x:row r="60" ht="62" customHeight="1">
      <x:c r="A60" s="9" t="str">
        <x:v>G01</x:v>
      </x:c>
      <x:c r="B60" s="9" t="str">
        <x:v>P0056</x:v>
      </x:c>
      <x:c r="C60" s="9" t="str">
        <x:v>Аминосил</x:v>
      </x:c>
      <x:c r="D60" s="9" t="str">
        <x:v>Спрей Аминосил для Орхидей</x:v>
      </x:c>
      <x:c r="E60" s="9"/>
      <x:c r="F60" s="11" t="str">
        <x:v>https://aminosil.ru/sprei-aminosil-dlya-orhidei</x:v>
      </x:c>
    </x:row>
    <x:row r="61" ht="62" customHeight="1">
      <x:c r="A61" s="9" t="str">
        <x:v>G01</x:v>
      </x:c>
      <x:c r="B61" s="9" t="str">
        <x:v>P0057</x:v>
      </x:c>
      <x:c r="C61" s="9" t="str">
        <x:v>Аминосил</x:v>
      </x:c>
      <x:c r="D61" s="9" t="str">
        <x:v>Спрей Аминосил для петуний</x:v>
      </x:c>
      <x:c r="E61" s="9"/>
      <x:c r="F61" s="11" t="str">
        <x:v>https://aminosil.ru/sprei-aminosil-dlya-petunii</x:v>
      </x:c>
    </x:row>
    <x:row r="62" ht="62" customHeight="1">
      <x:c r="A62" s="9" t="str">
        <x:v>G01</x:v>
      </x:c>
      <x:c r="B62" s="9" t="str">
        <x:v>P0058</x:v>
      </x:c>
      <x:c r="C62" s="9" t="str">
        <x:v>Аминосил</x:v>
      </x:c>
      <x:c r="D62" s="9" t="str">
        <x:v>Спрей Аминосил для рассады</x:v>
      </x:c>
      <x:c r="E62" s="9"/>
      <x:c r="F62" s="11" t="str">
        <x:v>https://aminosil.ru/sprei-aminosil-dlya-rassadi</x:v>
      </x:c>
    </x:row>
    <x:row r="63" ht="62" customHeight="1">
      <x:c r="A63" s="9" t="str">
        <x:v>G01</x:v>
      </x:c>
      <x:c r="B63" s="9" t="str">
        <x:v>P0059</x:v>
      </x:c>
      <x:c r="C63" s="9" t="str">
        <x:v>Аминосил</x:v>
      </x:c>
      <x:c r="D63" s="9" t="str">
        <x:v>Спрей Аминосил для роз</x:v>
      </x:c>
      <x:c r="E63" s="9"/>
      <x:c r="F63" s="11" t="str">
        <x:v>https://aminosil.ru/sprei-aminosil-dlya-roz</x:v>
      </x:c>
    </x:row>
    <x:row r="64" ht="62" customHeight="1">
      <x:c r="A64" s="9" t="str">
        <x:v>G01</x:v>
      </x:c>
      <x:c r="B64" s="9" t="str">
        <x:v>P0060</x:v>
      </x:c>
      <x:c r="C64" s="9" t="str">
        <x:v>Аминосил</x:v>
      </x:c>
      <x:c r="D64" s="9" t="str">
        <x:v>Спрей Аминосил для цветов</x:v>
      </x:c>
      <x:c r="E64" s="9"/>
      <x:c r="F64" s="11" t="str">
        <x:v>https://aminosil.ru/sprei-aminosil-dlya-tsvetov</x:v>
      </x:c>
    </x:row>
    <x:row r="65" ht="62" customHeight="1">
      <x:c r="A65" s="9" t="str">
        <x:v>G01</x:v>
      </x:c>
      <x:c r="B65" s="9" t="str">
        <x:v>P0061</x:v>
      </x:c>
      <x:c r="C65" s="9" t="str">
        <x:v>Аминосил</x:v>
      </x:c>
      <x:c r="D65" s="9" t="str">
        <x:v>Спрей Аминосил для цитрусовых</x:v>
      </x:c>
      <x:c r="E65" s="9"/>
      <x:c r="F65" s="11" t="str">
        <x:v>https://aminosil.ru/sprei-aminosil-dlya-tsitrusovih</x:v>
      </x:c>
    </x:row>
    <x:row r="66" ht="62" customHeight="1">
      <x:c r="A66" s="9" t="str">
        <x:v>G01</x:v>
      </x:c>
      <x:c r="B66" s="9" t="str">
        <x:v>P0062</x:v>
      </x:c>
      <x:c r="C66" s="9" t="str">
        <x:v>Аминосил</x:v>
      </x:c>
      <x:c r="D66" s="9" t="str">
        <x:v>Спрей Аминосил универсальный</x:v>
      </x:c>
      <x:c r="E66" s="9"/>
      <x:c r="F66" s="11" t="str">
        <x:v>https://aminosil.ru/sprei-aminosil-universalnii</x:v>
      </x:c>
    </x:row>
    <x:row r="67" ht="62" customHeight="1">
      <x:c r="A67" s="9" t="str">
        <x:v>G01</x:v>
      </x:c>
      <x:c r="B67" s="9" t="str">
        <x:v>P0096</x:v>
      </x:c>
      <x:c r="C67" s="9" t="str">
        <x:v>Био-комплекс</x:v>
      </x:c>
      <x:c r="D67" s="9" t="str">
        <x:v>БИО-комплекс Сила аминокислот, ТМ Удобряша</x:v>
      </x:c>
      <x:c r="E67" s="9"/>
      <x:c r="F67" s="11" t="str">
        <x:v>https://bio-kompleks.ru/catalog/vsya_produktsiya/bio_kompleks_sila_aminokislot_tm_udobryasha/</x:v>
      </x:c>
    </x:row>
    <x:row r="68" ht="62" customHeight="1">
      <x:c r="A68" s="9" t="str">
        <x:v>G01</x:v>
      </x:c>
      <x:c r="B68" s="9" t="str">
        <x:v>P0176</x:v>
      </x:c>
      <x:c r="C68" s="9" t="str">
        <x:v>Био-комплекс</x:v>
      </x:c>
      <x:c r="D68" s="9" t="str">
        <x:v>Биостим Рост, стимулятор роста</x:v>
      </x:c>
      <x:c r="E68" s="9"/>
      <x:c r="F68" s="11" t="str">
        <x:v>https://bio-kompleks.ru/catalog/vsya_produktsiya/biostim_rost_stimulyator_rosta_fl_10_ml/</x:v>
      </x:c>
    </x:row>
    <x:row r="69" ht="62" customHeight="1">
      <x:c r="A69" s="9" t="str">
        <x:v>G01</x:v>
      </x:c>
      <x:c r="B69" s="9" t="str">
        <x:v>P0177</x:v>
      </x:c>
      <x:c r="C69" s="9" t="str">
        <x:v>Био-комплекс</x:v>
      </x:c>
      <x:c r="D69" s="9" t="str">
        <x:v>Биостим Старт, стимулятор для семян и рассады</x:v>
      </x:c>
      <x:c r="E69" s="9"/>
      <x:c r="F69" s="11" t="str">
        <x:v>https://bio-kompleks.ru/catalog/vsya_produktsiya/biostim_start_stimulyator_dlya_semyan_i_rassady_fl_10_ml/</x:v>
      </x:c>
    </x:row>
    <x:row r="70" ht="62" customHeight="1">
      <x:c r="A70" s="9" t="str">
        <x:v>G01</x:v>
      </x:c>
      <x:c r="B70" s="9" t="str">
        <x:v>P0178</x:v>
      </x:c>
      <x:c r="C70" s="9" t="str">
        <x:v>Био-комплекс</x:v>
      </x:c>
      <x:c r="D70" s="9" t="str">
        <x:v>Биостим Универсал, стимулятор от стрессов</x:v>
      </x:c>
      <x:c r="E70" s="9"/>
      <x:c r="F70" s="11" t="str">
        <x:v>https://bio-kompleks.ru/catalog/vsya_produktsiya/biostim_universal_stimulyator_ot_stressov_fl_25_ml/</x:v>
      </x:c>
    </x:row>
    <x:row r="71" ht="62" customHeight="1">
      <x:c r="A71" s="9" t="str">
        <x:v>G01</x:v>
      </x:c>
      <x:c r="B71" s="9" t="str">
        <x:v>P0201</x:v>
      </x:c>
      <x:c r="C71" s="9" t="str">
        <x:v>Био-комплекс</x:v>
      </x:c>
      <x:c r="D71" s="9" t="str">
        <x:v>Микорайз, биостимулятор на основе микоризы</x:v>
      </x:c>
      <x:c r="E71" s="9"/>
      <x:c r="F71" s="11" t="str">
        <x:v>https://bio-kompleks.ru/catalog/vsya_produktsiya/mikorayz_biostimulyator_na_osnove_mikorizy_paket_5_tab/</x:v>
      </x:c>
    </x:row>
    <x:row r="72" ht="62" customHeight="1">
      <x:c r="A72" s="9" t="str">
        <x:v>G01</x:v>
      </x:c>
      <x:c r="B72" s="9" t="str">
        <x:v>P0252</x:v>
      </x:c>
      <x:c r="C72" s="9" t="str">
        <x:v>5сезонов</x:v>
      </x:c>
      <x:c r="D72" s="9" t="str">
        <x:v>MAXI Гумус</x:v>
      </x:c>
      <x:c r="E72" s="9"/>
      <x:c r="F72" s="11" t="str">
        <x:v>https://5-sezonov.ru/</x:v>
      </x:c>
    </x:row>
    <x:row r="73" ht="62" customHeight="1">
      <x:c r="A73" s="9" t="str">
        <x:v>G01</x:v>
      </x:c>
      <x:c r="B73" s="9" t="str">
        <x:v>P0259</x:v>
      </x:c>
      <x:c r="C73" s="9" t="str">
        <x:v>Органик Микс</x:v>
      </x:c>
      <x:c r="D73" s="9" t="str">
        <x:v>MixCaps СУПЕР-РОСТ - стимулятор роста в капсулах 60 шт</x:v>
      </x:c>
      <x:c r="E73" s="9"/>
      <x:c r="F73" s="11" t="str">
        <x:v>https://organic-mix.ru/catalog/mixcap-super-rost-stimulyator-rosta-v-kapsulakh-60-sht/</x:v>
      </x:c>
    </x:row>
    <x:row r="74" ht="62" customHeight="1">
      <x:c r="A74" s="9" t="str">
        <x:v>G01</x:v>
      </x:c>
      <x:c r="B74" s="9" t="str">
        <x:v>P0261</x:v>
      </x:c>
      <x:c r="C74" s="9" t="str">
        <x:v>Органик Микс</x:v>
      </x:c>
      <x:c r="D74" s="9" t="str">
        <x:v>Аминорост для рассады</x:v>
      </x:c>
      <x:c r="E74" s="9"/>
      <x:c r="F74" s="11" t="str">
        <x:v>https://organic-mix.ru/catalog/aminorost-banochka-dlya-rassady-120-gr-organik-miks/</x:v>
      </x:c>
    </x:row>
    <x:row r="75" ht="62" customHeight="1">
      <x:c r="A75" s="9" t="str">
        <x:v>G01</x:v>
      </x:c>
      <x:c r="B75" s="9" t="str">
        <x:v>P0345</x:v>
      </x:c>
      <x:c r="C75" s="9" t="str">
        <x:v>Органик Микс</x:v>
      </x:c>
      <x:c r="D75" s="9" t="str">
        <x:v>Органический стимулятор роста АминоРост</x:v>
      </x:c>
      <x:c r="E75" s="9"/>
      <x:c r="F75" s="11" t="str">
        <x:v>https://organic-mix.ru/catalog/aminorost-banochka-30-gr-organik-miks/</x:v>
      </x:c>
    </x:row>
    <x:row r="76" ht="62" customHeight="1">
      <x:c r="A76" s="9" t="str">
        <x:v>G01</x:v>
      </x:c>
      <x:c r="B76" s="9" t="str">
        <x:v>P0570</x:v>
      </x:c>
      <x:c r="C76" s="9" t="str">
        <x:v>БашИнком</x:v>
      </x:c>
      <x:c r="D76" s="9" t="str">
        <x:v>Бияк АминоХит</x:v>
      </x:c>
      <x:c r="E76" s="9"/>
      <x:c r="F76" s="11" t="str">
        <x:v>https://www.bashinkom.ru/products/avz/BiyakAminoKHit</x:v>
      </x:c>
    </x:row>
    <x:row r="77" ht="62" customHeight="1">
      <x:c r="A77" s="9" t="str">
        <x:v>G02</x:v>
      </x:c>
      <x:c r="B77" s="9" t="str">
        <x:v>P0068</x:v>
      </x:c>
      <x:c r="C77" s="9" t="str">
        <x:v>Био-комплекс</x:v>
      </x:c>
      <x:c r="D77" s="9" t="str">
        <x:v>БИО-комплекс Гумат Калия</x:v>
      </x:c>
      <x:c r="E77" s="9"/>
      <x:c r="F77" s="11" t="str">
        <x:v>https://bio-kompleks.ru/catalog/vsya_produktsiya/bio_kompleks_gumat_kaliya_/</x:v>
      </x:c>
    </x:row>
    <x:row r="78" ht="62" customHeight="1">
      <x:c r="A78" s="9" t="str">
        <x:v>G02</x:v>
      </x:c>
      <x:c r="B78" s="9" t="str">
        <x:v>P0181</x:v>
      </x:c>
      <x:c r="C78" s="9" t="str">
        <x:v>Био-комплекс</x:v>
      </x:c>
      <x:c r="D78" s="9" t="str">
        <x:v>Гумат калия "СУФЛЕР", удобрение для овощных</x:v>
      </x:c>
      <x:c r="E78" s="9"/>
      <x:c r="F78" s="11" t="str">
        <x:v>https://bio-kompleks.ru/catalog/vsya_produktsiya/gumat_kaliya_sufler_udobrenie_dlya_ovoshchnykh_fl_500_ml/</x:v>
      </x:c>
    </x:row>
    <x:row r="79" ht="62" customHeight="1">
      <x:c r="A79" s="9" t="str">
        <x:v>G02</x:v>
      </x:c>
      <x:c r="B79" s="9" t="str">
        <x:v>P0182</x:v>
      </x:c>
      <x:c r="C79" s="9" t="str">
        <x:v>Био-комплекс</x:v>
      </x:c>
      <x:c r="D79" s="9" t="str">
        <x:v>Гумат калия "СУФЛЕР", удобрение для плодово-ягодных</x:v>
      </x:c>
      <x:c r="E79" s="9"/>
      <x:c r="F79" s="11" t="str">
        <x:v>https://bio-kompleks.ru/catalog/vsya_produktsiya/gumat_kaliya_sufler_udobrenie_dlya_plodovo_yagodnykh_fl_500_ml/</x:v>
      </x:c>
    </x:row>
    <x:row r="80" ht="62" customHeight="1">
      <x:c r="A80" s="9" t="str">
        <x:v>G02</x:v>
      </x:c>
      <x:c r="B80" s="9" t="str">
        <x:v>P0183</x:v>
      </x:c>
      <x:c r="C80" s="9" t="str">
        <x:v>Био-комплекс</x:v>
      </x:c>
      <x:c r="D80" s="9" t="str">
        <x:v>Гумат калия "СУФЛЕР", удобрение для цветочно-декор</x:v>
      </x:c>
      <x:c r="E80" s="9"/>
      <x:c r="F80" s="11" t="str">
        <x:v>https://bio-kompleks.ru/catalog/vsya_produktsiya/gumat_kaliya_sufler_udobrenie_dlya_tsvetochno_dekor_fl_500_ml/</x:v>
      </x:c>
    </x:row>
    <x:row r="81" ht="62" customHeight="1">
      <x:c r="A81" s="9" t="str">
        <x:v>G02</x:v>
      </x:c>
      <x:c r="B81" s="9" t="str">
        <x:v>P0606</x:v>
      </x:c>
      <x:c r="C81" s="9" t="str">
        <x:v>БашИнком</x:v>
      </x:c>
      <x:c r="D81" s="9" t="str">
        <x:v>ГУМИ–Калийный</x:v>
      </x:c>
      <x:c r="E81" s="9"/>
      <x:c r="F81" s="11" t="str">
        <x:v>https://www.bashinkom.ru/products/ojz/GUMIKaliynyy05l</x:v>
      </x:c>
    </x:row>
    <x:row r="82" ht="62" customHeight="1">
      <x:c r="A82" s="9" t="str">
        <x:v>G02</x:v>
      </x:c>
      <x:c r="B82" s="9" t="str">
        <x:v>P0675</x:v>
      </x:c>
      <x:c r="C82" s="9" t="str">
        <x:v>БашИнком</x:v>
      </x:c>
      <x:c r="D82" s="9" t="str">
        <x:v>Олимпийский Гуми-30 М, ПС (калийный)</x:v>
      </x:c>
      <x:c r="E82" s="9"/>
      <x:c r="F82" s="11" t="str">
        <x:v>https://www.bashinkom.ru/products/ojz/OLIMPIYSKIYGUMIKKaliynyyNANOGEL300g</x:v>
      </x:c>
    </x:row>
    <x:row r="83" ht="62" customHeight="1">
      <x:c r="A83" s="9" t="str">
        <x:v>G03</x:v>
      </x:c>
      <x:c r="B83" s="9" t="str">
        <x:v>P0093</x:v>
      </x:c>
      <x:c r="C83" s="9" t="str">
        <x:v>Био-комплекс</x:v>
      </x:c>
      <x:c r="D83" s="9" t="str">
        <x:v>БИО-комплекс Рыбная мука</x:v>
      </x:c>
      <x:c r="E83" s="9"/>
      <x:c r="F83" s="11" t="str">
        <x:v>https://bio-kompleks.ru/catalog/vsya_produktsiya/bio_kompleks_rybnaya_muka/</x:v>
      </x:c>
    </x:row>
    <x:row r="84" ht="62" customHeight="1">
      <x:c r="A84" s="9" t="str">
        <x:v>G03</x:v>
      </x:c>
      <x:c r="B84" s="9" t="str">
        <x:v>P0359</x:v>
      </x:c>
      <x:c r="C84" s="9" t="str">
        <x:v>Органик Микс</x:v>
      </x:c>
      <x:c r="D84" s="9" t="str">
        <x:v>Рыбная мука</x:v>
      </x:c>
      <x:c r="E84" s="9"/>
      <x:c r="F84" s="11" t="str">
        <x:v>https://organic-mix.ru/catalog/rybnaya-muka/</x:v>
      </x:c>
    </x:row>
    <x:row r="85" ht="62" customHeight="1">
      <x:c r="A85" s="9" t="str">
        <x:v>G04</x:v>
      </x:c>
      <x:c r="B85" s="9" t="str">
        <x:v>P0075</x:v>
      </x:c>
      <x:c r="C85" s="9" t="str">
        <x:v>Био-комплекс</x:v>
      </x:c>
      <x:c r="D85" s="9" t="str">
        <x:v>БИО-комплекс Кровяная мука</x:v>
      </x:c>
      <x:c r="E85" s="9"/>
      <x:c r="F85" s="11" t="str">
        <x:v>https://bio-kompleks.ru/catalog/vsya_produktsiya/bio_kompleks_krovyanaya_muka/</x:v>
      </x:c>
    </x:row>
    <x:row r="86" ht="62" customHeight="1">
      <x:c r="A86" s="9" t="str">
        <x:v>G04</x:v>
      </x:c>
      <x:c r="B86" s="9" t="str">
        <x:v>P0308</x:v>
      </x:c>
      <x:c r="C86" s="9" t="str">
        <x:v>Органик Микс</x:v>
      </x:c>
      <x:c r="D86" s="9" t="str">
        <x:v>Кровяная мука</x:v>
      </x:c>
      <x:c r="E86" s="9"/>
      <x:c r="F86" s="11" t="str">
        <x:v>https://organic-mix.ru/catalog/krovyanaya-muka/</x:v>
      </x:c>
    </x:row>
    <x:row r="87" ht="62" customHeight="1">
      <x:c r="A87" s="9" t="str">
        <x:v>G05</x:v>
      </x:c>
      <x:c r="B87" s="9" t="str">
        <x:v>P0074</x:v>
      </x:c>
      <x:c r="C87" s="9" t="str">
        <x:v>Био-комплекс</x:v>
      </x:c>
      <x:c r="D87" s="9" t="str">
        <x:v>БИО-комплекс Костная мука</x:v>
      </x:c>
      <x:c r="E87" s="9"/>
      <x:c r="F87" s="11" t="str">
        <x:v>https://bio-kompleks.ru/catalog/vsya_produktsiya/bio_kompleks_kostnaya_muka/</x:v>
      </x:c>
    </x:row>
    <x:row r="88" ht="62" customHeight="1">
      <x:c r="A88" s="9" t="str">
        <x:v>G05</x:v>
      </x:c>
      <x:c r="B88" s="9" t="str">
        <x:v>P0307</x:v>
      </x:c>
      <x:c r="C88" s="9" t="str">
        <x:v>Органик Микс</x:v>
      </x:c>
      <x:c r="D88" s="9" t="str">
        <x:v>Костная мука</x:v>
      </x:c>
      <x:c r="E88" s="9"/>
      <x:c r="F88" s="11" t="str">
        <x:v>https://organic-mix.ru/catalog/kostnaya-muka-organik-miks-2-8-kg/</x:v>
      </x:c>
    </x:row>
    <x:row r="89" ht="62" customHeight="1">
      <x:c r="A89" s="9" t="str">
        <x:v>G06</x:v>
      </x:c>
      <x:c r="B89" s="9" t="str">
        <x:v>P0185</x:v>
      </x:c>
      <x:c r="C89" s="9" t="str">
        <x:v>Био-комплекс</x:v>
      </x:c>
      <x:c r="D89" s="9" t="str">
        <x:v>ДАЧНЫЙ ПОМОЩНИК, Зеленое мыло (калиевое), пульверизатор</x:v>
      </x:c>
      <x:c r="E89" s="9"/>
      <x:c r="F89" s="11" t="str">
        <x:v>https://bio-kompleks.ru/catalog/vsya_produktsiya/dachnyy_pomoshchnik_zelenoe_mylo_kalievoe_pulverizator/</x:v>
      </x:c>
    </x:row>
    <x:row r="90" ht="62" customHeight="1">
      <x:c r="A90" s="9" t="str">
        <x:v>G06</x:v>
      </x:c>
      <x:c r="B90" s="9" t="str">
        <x:v>P0284</x:v>
      </x:c>
      <x:c r="C90" s="9" t="str">
        <x:v>Органик Микс</x:v>
      </x:c>
      <x:c r="D90" s="9" t="str">
        <x:v>БИО ХАНТЕР для комнатных растений СПРЕЙ - от насекомых-вредителей</x:v>
      </x:c>
      <x:c r="E90" s="9"/>
      <x:c r="F90" s="11" t="str">
        <x:v>https://organic-mix.ru/catalog/bio-khanter-dlya-komnatnykh-rasteniy-sprey-ot-nasekomykh-vrediteley-500-ml-/</x:v>
      </x:c>
    </x:row>
    <x:row r="91" ht="62" customHeight="1">
      <x:c r="A91" s="9" t="str">
        <x:v>G06</x:v>
      </x:c>
      <x:c r="B91" s="9" t="str">
        <x:v>P0285</x:v>
      </x:c>
      <x:c r="C91" s="9" t="str">
        <x:v>Органик Микс</x:v>
      </x:c>
      <x:c r="D91" s="9" t="str">
        <x:v>БИО ХАНТЕР для плодовых деревьев - от насекомых-вредителей</x:v>
      </x:c>
      <x:c r="E91" s="9"/>
      <x:c r="F91" s="11" t="str">
        <x:v>https://organic-mix.ru/catalog/biokhanter-dlya-plodovykh-derevev-ot-nasekomykh-vrediteley-500-ml/</x:v>
      </x:c>
    </x:row>
    <x:row r="92" ht="62" customHeight="1">
      <x:c r="A92" s="9" t="str">
        <x:v>G06</x:v>
      </x:c>
      <x:c r="B92" s="9" t="str">
        <x:v>P0286</x:v>
      </x:c>
      <x:c r="C92" s="9" t="str">
        <x:v>Органик Микс</x:v>
      </x:c>
      <x:c r="D92" s="9" t="str">
        <x:v>БИО ХАНТЕР для теплиц - от насекомых-вредителей</x:v>
      </x:c>
      <x:c r="E92" s="9"/>
      <x:c r="F92" s="11" t="str">
        <x:v>https://organic-mix.ru/catalog/biokhanter-dlya-teplits-ot-nasekomykh-vrediteley-500-ml/</x:v>
      </x:c>
    </x:row>
    <x:row r="93" ht="62" customHeight="1">
      <x:c r="A93" s="9" t="str">
        <x:v>G06</x:v>
      </x:c>
      <x:c r="B93" s="9" t="str">
        <x:v>P0287</x:v>
      </x:c>
      <x:c r="C93" s="9" t="str">
        <x:v>Органик Микс</x:v>
      </x:c>
      <x:c r="D93" s="9" t="str">
        <x:v>БИО ХАНТЕР универсальный - от насекомых-вредителей</x:v>
      </x:c>
      <x:c r="E93" s="9"/>
      <x:c r="F93" s="11" t="str">
        <x:v>https://organic-mix.ru/catalog/biokhanter-universalnyy-ot-nasekomykh-vrediteley-500-ml/</x:v>
      </x:c>
    </x:row>
    <x:row r="94" ht="62" customHeight="1">
      <x:c r="A94" s="9" t="str">
        <x:v>G06</x:v>
      </x:c>
      <x:c r="B94" s="9" t="str">
        <x:v>P0288</x:v>
      </x:c>
      <x:c r="C94" s="9" t="str">
        <x:v>Органик Микс</x:v>
      </x:c>
      <x:c r="D94" s="9" t="str">
        <x:v>БИО ХАНТЕР универсальный СПРЕЙ - от насекомых-вредителей</x:v>
      </x:c>
      <x:c r="E94" s="9"/>
      <x:c r="F94" s="11" t="str">
        <x:v>https://organic-mix.ru/catalog/bio-khanter-universalnyy-sprey-ot-nasekomykh-vrediteley-500-ml-/</x:v>
      </x:c>
    </x:row>
    <x:row r="95" ht="62" customHeight="1">
      <x:c r="A95" s="9" t="str">
        <x:v>G06</x:v>
      </x:c>
      <x:c r="B95" s="9" t="str">
        <x:v>P0361</x:v>
      </x:c>
      <x:c r="C95" s="9" t="str">
        <x:v>Органик Микс</x:v>
      </x:c>
      <x:c r="D95" s="9" t="str">
        <x:v>СТОПТЛИН (СПРЕЙ) - от тли</x:v>
      </x:c>
      <x:c r="E95" s="9"/>
      <x:c r="F95" s="11" t="str">
        <x:v>https://organic-mix.ru/catalog/stoptlin-sprey-ot-tli-1-l-/</x:v>
      </x:c>
    </x:row>
    <x:row r="96" ht="62" customHeight="1">
      <x:c r="A96" s="9" t="str">
        <x:v>G06</x:v>
      </x:c>
      <x:c r="B96" s="9" t="str">
        <x:v>P0674</x:v>
      </x:c>
      <x:c r="C96" s="9" t="str">
        <x:v>БашИнком</x:v>
      </x:c>
      <x:c r="D96" s="9" t="str">
        <x:v>Мыло–зеленое, растительное, калийное «Ура! На Дачу!»</x:v>
      </x:c>
      <x:c r="E96" s="9"/>
      <x:c r="F96" s="11" t="str">
        <x:v>https://www.bashinkom.ru/products/ojz/MylozelenoerastitelnoekaliynoeNaDachu</x:v>
      </x:c>
    </x:row>
    <x:row r="97" ht="62" customHeight="1">
      <x:c r="A97" s="9" t="str">
        <x:v>G07</x:v>
      </x:c>
      <x:c r="B97" s="9" t="str">
        <x:v>P0226</x:v>
      </x:c>
      <x:c r="C97" s="9" t="str">
        <x:v>Био-комплекс</x:v>
      </x:c>
      <x:c r="D97" s="9" t="str">
        <x:v>Сера 400, КС от болезней и вредит. (мучн. роса, парша, клещ)</x:v>
      </x:c>
      <x:c r="E97" s="9"/>
      <x:c r="F97" s="11" t="str">
        <x:v>https://bio-kompleks.ru/catalog/vsya_produktsiya/sera_400_ks_ot_bolezney_i_vredit_muchn_rosa_parsha_kleshch/</x:v>
      </x:c>
    </x:row>
    <x:row r="98" ht="62" customHeight="1">
      <x:c r="A98" s="9" t="str">
        <x:v>G07</x:v>
      </x:c>
      <x:c r="B98" s="9" t="str">
        <x:v>P0710</x:v>
      </x:c>
      <x:c r="C98" s="9" t="str">
        <x:v>БашИнком</x:v>
      </x:c>
      <x:c r="D98" s="9" t="str">
        <x:v>ТиоБаш</x:v>
      </x:c>
      <x:c r="E98" s="9"/>
      <x:c r="F98" s="11" t="str">
        <x:v>https://www.bashinkom.ru/products/ojz/TioBash05l</x:v>
      </x:c>
    </x:row>
    <x:row r="99" ht="62" customHeight="1">
      <x:c r="A99" s="9" t="str">
        <x:v>G07</x:v>
      </x:c>
      <x:c r="B99" s="9" t="str">
        <x:v>P0711</x:v>
      </x:c>
      <x:c r="C99" s="9" t="str">
        <x:v>БашИнком</x:v>
      </x:c>
      <x:c r="D99" s="9" t="str">
        <x:v>ТиоБаш</x:v>
      </x:c>
      <x:c r="E99" s="9"/>
      <x:c r="F99" s="11" t="str">
        <x:v>https://www.bashinkom.ru/products/avz/TioBash</x:v>
      </x:c>
    </x:row>
    <x:row r="100" ht="62" customHeight="1">
      <x:c r="A100" s="9" t="str">
        <x:v>G08</x:v>
      </x:c>
      <x:c r="B100" s="9" t="str">
        <x:v>P0094</x:v>
      </x:c>
      <x:c r="C100" s="9" t="str">
        <x:v>Био-комплекс</x:v>
      </x:c>
      <x:c r="D100" s="9" t="str">
        <x:v>БИО-комплекс Сапропель Суперконцентрат</x:v>
      </x:c>
      <x:c r="E100" s="9"/>
      <x:c r="F100" s="11" t="str">
        <x:v>https://bio-kompleks.ru/catalog/vsya_produktsiya/bio_kompleks_sapropel_superkontsentrat_/</x:v>
      </x:c>
    </x:row>
    <x:row r="101" ht="62" customHeight="1">
      <x:c r="A101" s="9" t="str">
        <x:v>G08</x:v>
      </x:c>
      <x:c r="B101" s="9" t="str">
        <x:v>P0256</x:v>
      </x:c>
      <x:c r="C101" s="9" t="str">
        <x:v>5сезонов</x:v>
      </x:c>
      <x:c r="D101" s="9" t="str">
        <x:v>MAXI Сапропель</x:v>
      </x:c>
      <x:c r="E101" s="9"/>
      <x:c r="F101" s="11" t="str">
        <x:v>https://5-sezonov.ru/</x:v>
      </x:c>
    </x:row>
    <x:row r="102" ht="62" customHeight="1">
      <x:c r="A102" s="9" t="str">
        <x:v>G09</x:v>
      </x:c>
      <x:c r="B102" s="9" t="str">
        <x:v>P0066</x:v>
      </x:c>
      <x:c r="C102" s="9" t="str">
        <x:v>Био-комплекс</x:v>
      </x:c>
      <x:c r="D102" s="9" t="str">
        <x:v>БИО-комплекс БиоГумус</x:v>
      </x:c>
      <x:c r="E102" s="9"/>
      <x:c r="F102" s="11" t="str">
        <x:v>https://bio-kompleks.ru/catalog/vsya_produktsiya/bio_kompleks_biogumus/</x:v>
      </x:c>
    </x:row>
    <x:row r="103" ht="62" customHeight="1">
      <x:c r="A103" s="9" t="str">
        <x:v>G09</x:v>
      </x:c>
      <x:c r="B103" s="9" t="str">
        <x:v>P0289</x:v>
      </x:c>
      <x:c r="C103" s="9" t="str">
        <x:v>Органик Микс</x:v>
      </x:c>
      <x:c r="D103" s="9" t="str">
        <x:v>Биогумус для домашних растений</x:v>
      </x:c>
      <x:c r="E103" s="9"/>
      <x:c r="F103" s="11" t="str">
        <x:v>https://organic-mix.ru/catalog/biogumus-dlya-domashnikh-rasteniy/</x:v>
      </x:c>
    </x:row>
    <x:row r="104" ht="62" customHeight="1">
      <x:c r="A104" s="9" t="str">
        <x:v>G09</x:v>
      </x:c>
      <x:c r="B104" s="9" t="str">
        <x:v>P0636</x:v>
      </x:c>
      <x:c r="C104" s="9" t="str">
        <x:v>БашИнком</x:v>
      </x:c>
      <x:c r="D104" s="9" t="str">
        <x:v>Дар Плодородия – концентрат биоактивированного гумусного удобрения</x:v>
      </x:c>
      <x:c r="E104" s="9"/>
      <x:c r="F104" s="11" t="str">
        <x:v>https://www.bashinkom.ru/products/ojz/DARPLODORODIYAkontsentratbioaktivirovannogogumusnogoudobreniya05kg</x:v>
      </x:c>
    </x:row>
    <x:row r="105" ht="62" customHeight="1">
      <x:c r="A105" s="9" t="str">
        <x:v>G09</x:v>
      </x:c>
      <x:c r="B105" s="9" t="str">
        <x:v>P0699</x:v>
      </x:c>
      <x:c r="C105" s="9" t="str">
        <x:v>БашИнком</x:v>
      </x:c>
      <x:c r="D105" s="9" t="str">
        <x:v>СоткА чернозема гумуса плодородия</x:v>
      </x:c>
      <x:c r="E105" s="9"/>
      <x:c r="F105" s="11" t="str">
        <x:v>https://www.bashinkom.ru/products/ojz/SotkAchernozemagumusaplodorodiya1l</x:v>
      </x:c>
    </x:row>
    <x:row r="106" ht="62" customHeight="1">
      <x:c r="A106" s="9" t="str">
        <x:v>G09</x:v>
      </x:c>
      <x:c r="B106" s="9" t="str">
        <x:v>P0752</x:v>
      </x:c>
      <x:c r="C106" s="9" t="str">
        <x:v>БашИнком</x:v>
      </x:c>
      <x:c r="D106" s="9" t="str">
        <x:v>Хозяин–Батюшка – гумусный органический обогатитель и улучшитель почвы</x:v>
      </x:c>
      <x:c r="E106" s="9"/>
      <x:c r="F106" s="11" t="str">
        <x:v>https://www.bashinkom.ru/products/ojz/KHozyainBatyushkagumusnyyorganicheskiyobogatiteliuluchshitelpochvy1kg</x:v>
      </x:c>
    </x:row>
    <x:row r="107" ht="62" customHeight="1">
      <x:c r="A107" s="9" t="str">
        <x:v>G10</x:v>
      </x:c>
      <x:c r="B107" s="9" t="str">
        <x:v>P0125</x:v>
      </x:c>
      <x:c r="C107" s="9" t="str">
        <x:v>Био-комплекс</x:v>
      </x:c>
      <x:c r="D107" s="9" t="str">
        <x:v>БИО-комплекс ЭКБИ 1 для семян и корней рассады</x:v>
      </x:c>
      <x:c r="E107" s="9"/>
      <x:c r="F107" s="11" t="str">
        <x:v>https://bio-kompleks.ru/catalog/vsya_produktsiya/bio_kompleks_ekbi_1_dlya_semyan_i_korney_rassady/</x:v>
      </x:c>
    </x:row>
    <x:row r="108" ht="62" customHeight="1">
      <x:c r="A108" s="9" t="str">
        <x:v>G10</x:v>
      </x:c>
      <x:c r="B108" s="9" t="str">
        <x:v>P0126</x:v>
      </x:c>
      <x:c r="C108" s="9" t="str">
        <x:v>Био-комплекс</x:v>
      </x:c>
      <x:c r="D108" s="9" t="str">
        <x:v>БИО-комплекс ЭКБИ 2 для клубней, луковиц и корней саженцев</x:v>
      </x:c>
      <x:c r="E108" s="9"/>
      <x:c r="F108" s="11" t="str">
        <x:v>https://bio-kompleks.ru/catalog/vsya_produktsiya/bio_kompleks_ekbi_2_dlya_klubney_lukovits_i_korney_sazhentsev/</x:v>
      </x:c>
    </x:row>
    <x:row r="109" ht="62" customHeight="1">
      <x:c r="A109" s="9" t="str">
        <x:v>G10</x:v>
      </x:c>
      <x:c r="B109" s="9" t="str">
        <x:v>P0177</x:v>
      </x:c>
      <x:c r="C109" s="9" t="str">
        <x:v>Био-комплекс</x:v>
      </x:c>
      <x:c r="D109" s="9" t="str">
        <x:v>Биостим Старт, стимулятор для семян и рассады</x:v>
      </x:c>
      <x:c r="E109" s="9"/>
      <x:c r="F109" s="11" t="str">
        <x:v>https://bio-kompleks.ru/catalog/vsya_produktsiya/biostim_start_stimulyator_dlya_semyan_i_rassady_fl_10_ml/</x:v>
      </x:c>
    </x:row>
    <x:row r="110" ht="62" customHeight="1">
      <x:c r="A110" s="9" t="str">
        <x:v>G10</x:v>
      </x:c>
      <x:c r="B110" s="9" t="str">
        <x:v>P0198</x:v>
      </x:c>
      <x:c r="C110" s="9" t="str">
        <x:v>Био-комплекс</x:v>
      </x:c>
      <x:c r="D110" s="9" t="str">
        <x:v>Коренник, СП стимулятор роста корней</x:v>
      </x:c>
      <x:c r="E110" s="9"/>
      <x:c r="F110" s="11" t="str">
        <x:v>https://bio-kompleks.ru/catalog/vsya_produktsiya/korennik_sp_stimulyator_rosta_korney/</x:v>
      </x:c>
    </x:row>
    <x:row r="111" ht="62" customHeight="1">
      <x:c r="A111" s="9" t="str">
        <x:v>G10</x:v>
      </x:c>
      <x:c r="B111" s="9" t="str">
        <x:v>P0253</x:v>
      </x:c>
      <x:c r="C111" s="9" t="str">
        <x:v>5сезонов</x:v>
      </x:c>
      <x:c r="D111" s="9" t="str">
        <x:v>MAXI Корень</x:v>
      </x:c>
      <x:c r="E111" s="9"/>
      <x:c r="F111" s="11" t="str">
        <x:v>https://5-sezonov.ru/</x:v>
      </x:c>
    </x:row>
    <x:row r="112" ht="62" customHeight="1">
      <x:c r="A112" s="9" t="str">
        <x:v>G10</x:v>
      </x:c>
      <x:c r="B112" s="9" t="str">
        <x:v>P0257</x:v>
      </x:c>
      <x:c r="C112" s="9" t="str">
        <x:v>5сезонов</x:v>
      </x:c>
      <x:c r="D112" s="9" t="str">
        <x:v>MAXI Урожай</x:v>
      </x:c>
      <x:c r="E112" s="9"/>
      <x:c r="F112" s="11" t="str">
        <x:v>https://5-sezonov.ru/</x:v>
      </x:c>
    </x:row>
    <x:row r="113" ht="62" customHeight="1">
      <x:c r="A113" s="9" t="str">
        <x:v>G10</x:v>
      </x:c>
      <x:c r="B113" s="9" t="str">
        <x:v>P0346</x:v>
      </x:c>
      <x:c r="C113" s="9" t="str">
        <x:v>Органик Микс</x:v>
      </x:c>
      <x:c r="D113" s="9" t="str">
        <x:v>Органический укоренитель БиоКорень</x:v>
      </x:c>
      <x:c r="E113" s="9"/>
      <x:c r="F113" s="11" t="str">
        <x:v>https://organic-mix.ru/catalog/biokoren-banochka-50-gr-organik-miks/</x:v>
      </x:c>
    </x:row>
    <x:row r="114" ht="62" customHeight="1">
      <x:c r="A114" s="9" t="str">
        <x:v>G10</x:v>
      </x:c>
      <x:c r="B114" s="9" t="str">
        <x:v>P0662</x:v>
      </x:c>
      <x:c r="C114" s="9" t="str">
        <x:v>БашИнком</x:v>
      </x:c>
      <x:c r="D114" s="9" t="str">
        <x:v>КорнеСил Экстра</x:v>
      </x:c>
      <x:c r="E114" s="9"/>
      <x:c r="F114" s="11" t="str">
        <x:v>https://www.bashinkom.ru/products/ojz/KorneSilEkstra10g</x:v>
      </x:c>
    </x:row>
    <x:row r="115" ht="62" customHeight="1">
      <x:c r="A115" s="9" t="str">
        <x:v>G10</x:v>
      </x:c>
      <x:c r="B115" s="9" t="str">
        <x:v>P0663</x:v>
      </x:c>
      <x:c r="C115" s="9" t="str">
        <x:v>БашИнком</x:v>
      </x:c>
      <x:c r="D115" s="9" t="str">
        <x:v>Корнесил Экстра Универсальный</x:v>
      </x:c>
      <x:c r="E115" s="9"/>
      <x:c r="F115" s="11" t="str">
        <x:v>https://www.bashinkom.ru/products/prodecor/KorneSilEkstra</x:v>
      </x:c>
    </x:row>
    <x:row r="116" ht="62" customHeight="1">
      <x:c r="A116" s="9" t="str">
        <x:v>G10</x:v>
      </x:c>
      <x:c r="B116" s="9" t="str">
        <x:v>P0664</x:v>
      </x:c>
      <x:c r="C116" s="9" t="str">
        <x:v>БашИнком</x:v>
      </x:c>
      <x:c r="D116" s="9" t="str">
        <x:v>Корнесил, Гуми-20 + МЭ</x:v>
      </x:c>
      <x:c r="E116" s="9"/>
      <x:c r="F116" s="11" t="str">
        <x:v>https://www.bashinkom.ru/products/ojz/KORNESILGumi20ME03l</x:v>
      </x:c>
    </x:row>
    <x:row r="117" ht="62" customHeight="1">
      <x:c r="A117" s="9" t="str">
        <x:v>G11</x:v>
      </x:c>
      <x:c r="B117" s="9" t="str">
        <x:v>P0067</x:v>
      </x:c>
      <x:c r="C117" s="9" t="str">
        <x:v>Био-комплекс</x:v>
      </x:c>
      <x:c r="D117" s="9" t="str">
        <x:v>БИО-комплекс Бокаши</x:v>
      </x:c>
      <x:c r="E117" s="9"/>
      <x:c r="F117" s="11" t="str">
        <x:v>https://bio-kompleks.ru/catalog/vsya_produktsiya/bio_kompleks_bokashi_/</x:v>
      </x:c>
    </x:row>
    <x:row r="118" ht="62" customHeight="1">
      <x:c r="A118" s="9" t="str">
        <x:v>G11</x:v>
      </x:c>
      <x:c r="B118" s="9" t="str">
        <x:v>P0100</x:v>
      </x:c>
      <x:c r="C118" s="9" t="str">
        <x:v>Био-комплекс</x:v>
      </x:c>
      <x:c r="D118" s="9" t="str">
        <x:v>БИО-комплекс СуперКомпост</x:v>
      </x:c>
      <x:c r="E118" s="9"/>
      <x:c r="F118" s="11" t="str">
        <x:v>https://bio-kompleks.ru/catalog/vsya_produktsiya/bio_kompleks_superkompost/</x:v>
      </x:c>
    </x:row>
    <x:row r="119" ht="62" customHeight="1">
      <x:c r="A119" s="9" t="str">
        <x:v>G11</x:v>
      </x:c>
      <x:c r="B119" s="9" t="str">
        <x:v>P0250</x:v>
      </x:c>
      <x:c r="C119" s="9" t="str">
        <x:v>5сезонов</x:v>
      </x:c>
      <x:c r="D119" s="9" t="str">
        <x:v>MAXI 3 в 1</x:v>
      </x:c>
      <x:c r="E119" s="9"/>
      <x:c r="F119" s="11" t="str">
        <x:v>https://5-sezonov.ru/</x:v>
      </x:c>
    </x:row>
    <x:row r="120" ht="62" customHeight="1">
      <x:c r="A120" s="9" t="str">
        <x:v>G11</x:v>
      </x:c>
      <x:c r="B120" s="9" t="str">
        <x:v>P0390</x:v>
      </x:c>
      <x:c r="C120" s="9" t="str">
        <x:v>Органик Микс</x:v>
      </x:c>
      <x:c r="D120" s="9" t="str">
        <x:v>Ускоритель компостирования</x:v>
      </x:c>
      <x:c r="E120" s="9"/>
      <x:c r="F120" s="11" t="str">
        <x:v>https://organic-mix.ru/catalog/uskoritel-kompostirovaniya-4l-organiks-miks/</x:v>
      </x:c>
    </x:row>
    <x:row r="121" ht="62" customHeight="1">
      <x:c r="A121" s="9" t="str">
        <x:v>G11</x:v>
      </x:c>
      <x:c r="B121" s="9" t="str">
        <x:v>P0393</x:v>
      </x:c>
      <x:c r="C121" s="9" t="str">
        <x:v>Органик Микс</x:v>
      </x:c>
      <x:c r="D121" s="9" t="str">
        <x:v>ШЕФ-КОМПОСТ</x:v>
      </x:c>
      <x:c r="E121" s="9"/>
      <x:c r="F121" s="11" t="str">
        <x:v>https://organic-mix.ru/catalog/shef-kompost-850-gr-organik-miks/</x:v>
      </x:c>
    </x:row>
    <x:row r="122" ht="62" customHeight="1">
      <x:c r="A122" s="9" t="str">
        <x:v>G11</x:v>
      </x:c>
      <x:c r="B122" s="9" t="str">
        <x:v>P0649</x:v>
      </x:c>
      <x:c r="C122" s="9" t="str">
        <x:v>БашИнком</x:v>
      </x:c>
      <x:c r="D122" s="9" t="str">
        <x:v>Компостин – ускоритель созревания компоста</x:v>
      </x:c>
      <x:c r="E122" s="9"/>
      <x:c r="F122" s="11" t="str">
        <x:v>https://www.bashinkom.ru/products/ojz/Kompostinuskoritelsozrevaniyakomposta05l</x:v>
      </x:c>
    </x:row>
    <x:row r="123" ht="62" customHeight="1">
      <x:c r="A123" s="9" t="str">
        <x:v>G11</x:v>
      </x:c>
      <x:c r="B123" s="9" t="str">
        <x:v>P0650</x:v>
      </x:c>
      <x:c r="C123" s="9" t="str">
        <x:v>БашИнком</x:v>
      </x:c>
      <x:c r="D123" s="9" t="str">
        <x:v>Компостин сухой</x:v>
      </x:c>
      <x:c r="E123" s="9"/>
      <x:c r="F123" s="11" t="str">
        <x:v>https://www.bashinkom.ru/products/ojz/Kompostinuskoritelsozrevaniyakompostaporoshok</x:v>
      </x:c>
    </x:row>
    <x:row r="124" ht="62" customHeight="1">
      <x:c r="A124" s="9" t="str">
        <x:v>G11</x:v>
      </x:c>
      <x:c r="B124" s="9" t="str">
        <x:v>P0670</x:v>
      </x:c>
      <x:c r="C124" s="9" t="str">
        <x:v>БашИнком</x:v>
      </x:c>
      <x:c r="D124" s="9" t="str">
        <x:v>Микробиологический препарат ТравоЗаквас</x:v>
      </x:c>
      <x:c r="E124" s="9"/>
      <x:c r="F124" s="11" t="str">
        <x:v>https://www.bashinkom.ru/products/ojz/MikrobiologicheskiypreparatTravoZakvas5l</x:v>
      </x:c>
    </x:row>
    <x:row r="125" ht="62" customHeight="1">
      <x:c r="A125" s="9" t="str">
        <x:v>G11</x:v>
      </x:c>
      <x:c r="B125" s="9" t="str">
        <x:v>P0700</x:v>
      </x:c>
      <x:c r="C125" s="9" t="str">
        <x:v>БашИнком</x:v>
      </x:c>
      <x:c r="D125" s="9" t="str">
        <x:v>Стерня-12</x:v>
      </x:c>
      <x:c r="E125" s="9"/>
      <x:c r="F125" s="11" t="str">
        <x:v>https://www.bashinkom.ru/products/avz/Sternya12</x:v>
      </x:c>
    </x:row>
    <x:row r="126" ht="62" customHeight="1">
      <x:c r="A126" s="9" t="str">
        <x:v>G12</x:v>
      </x:c>
      <x:c r="B126" s="9" t="str">
        <x:v>P0201</x:v>
      </x:c>
      <x:c r="C126" s="9" t="str">
        <x:v>Био-комплекс</x:v>
      </x:c>
      <x:c r="D126" s="9" t="str">
        <x:v>Микорайз, биостимулятор на основе микоризы</x:v>
      </x:c>
      <x:c r="E126" s="9"/>
      <x:c r="F126" s="11" t="str">
        <x:v>https://bio-kompleks.ru/catalog/vsya_produktsiya/mikorayz_biostimulyator_na_osnove_mikorizy_paket_5_tab/</x:v>
      </x:c>
    </x:row>
    <x:row r="127" ht="62" customHeight="1">
      <x:c r="A127" s="9" t="str">
        <x:v>G12</x:v>
      </x:c>
      <x:c r="B127" s="9" t="str">
        <x:v>P0640</x:v>
      </x:c>
      <x:c r="C127" s="9" t="str">
        <x:v>БашИнком</x:v>
      </x:c>
      <x:c r="D127" s="9" t="str">
        <x:v>Жидкая микориза Башинком</x:v>
      </x:c>
      <x:c r="E127" s="9"/>
      <x:c r="F127" s="11" t="str">
        <x:v>https://www.bashinkom.ru/products/avz/ZHidkayamikorizaBashinkom</x:v>
      </x:c>
    </x:row>
    <x:row r="128" ht="62" customHeight="1">
      <x:c r="A128" s="9" t="str">
        <x:v>G12</x:v>
      </x:c>
      <x:c r="B128" s="9" t="str">
        <x:v>P0651</x:v>
      </x:c>
      <x:c r="C128" s="9" t="str">
        <x:v>БашИнком</x:v>
      </x:c>
      <x:c r="D128" s="9" t="str">
        <x:v>Кормилица Микориза</x:v>
      </x:c>
      <x:c r="E128" s="9"/>
      <x:c r="F128" s="11" t="str">
        <x:v>https://www.bashinkom.ru/products/ojz/KormilitsaMikorizagranulirovannyy08kg</x:v>
      </x:c>
    </x:row>
    <x:row r="129" ht="62" customHeight="1">
      <x:c r="A129" s="9" t="str">
        <x:v>G12</x:v>
      </x:c>
      <x:c r="B129" s="9" t="str">
        <x:v>P0652</x:v>
      </x:c>
      <x:c r="C129" s="9" t="str">
        <x:v>БашИнком</x:v>
      </x:c>
      <x:c r="D129" s="9" t="str">
        <x:v>Кормилица Микориза Башкирская</x:v>
      </x:c>
      <x:c r="E129" s="9"/>
      <x:c r="F129" s="11" t="str">
        <x:v>https://www.bashinkom.ru/products/ojz/KormilitsaMikoriza</x:v>
      </x:c>
    </x:row>
    <x:row r="130" ht="62" customHeight="1">
      <x:c r="A130" s="9" t="str">
        <x:v>G12</x:v>
      </x:c>
      <x:c r="B130" s="9" t="str">
        <x:v>P0653</x:v>
      </x:c>
      <x:c r="C130" s="9" t="str">
        <x:v>БашИнком</x:v>
      </x:c>
      <x:c r="D130" s="9" t="str">
        <x:v>Кормилица Микориза Башкирская</x:v>
      </x:c>
      <x:c r="E130" s="9"/>
      <x:c r="F130" s="11" t="str">
        <x:v>https://www.bashinkom.ru/products/ojz/KormilitsaMikorizaBashkirskaya-10l</x:v>
      </x:c>
    </x:row>
    <x:row r="131" ht="62" customHeight="1">
      <x:c r="A131" s="9" t="str">
        <x:v>G12</x:v>
      </x:c>
      <x:c r="B131" s="9" t="str">
        <x:v>P0654</x:v>
      </x:c>
      <x:c r="C131" s="9" t="str">
        <x:v>БашИнком</x:v>
      </x:c>
      <x:c r="D131" s="9" t="str">
        <x:v>Кормилица Микориза Башкирская</x:v>
      </x:c>
      <x:c r="E131" s="9"/>
      <x:c r="F131" s="11" t="str">
        <x:v>https://www.bashinkom.ru/products/avz/KormilitsaMikorizaBashkirskaya10l</x:v>
      </x:c>
    </x:row>
    <x:row r="132" ht="62" customHeight="1">
      <x:c r="A132" s="9" t="str">
        <x:v>G12</x:v>
      </x:c>
      <x:c r="B132" s="9" t="str">
        <x:v>P0655</x:v>
      </x:c>
      <x:c r="C132" s="9" t="str">
        <x:v>БашИнком</x:v>
      </x:c>
      <x:c r="D132" s="9" t="str">
        <x:v>Кормилица Микориза для газона</x:v>
      </x:c>
      <x:c r="E132" s="9"/>
      <x:c r="F132" s="11" t="str">
        <x:v>https://www.bashinkom.ru/products/prodecor/KormilitsaMikorizadlyagazona10kg</x:v>
      </x:c>
    </x:row>
    <x:row r="133" ht="62" customHeight="1">
      <x:c r="A133" s="9" t="str">
        <x:v>G12</x:v>
      </x:c>
      <x:c r="B133" s="9" t="str">
        <x:v>P0656</x:v>
      </x:c>
      <x:c r="C133" s="9" t="str">
        <x:v>БашИнком</x:v>
      </x:c>
      <x:c r="D133" s="9" t="str">
        <x:v>Кормилица Микориза для газона</x:v>
      </x:c>
      <x:c r="E133" s="9"/>
      <x:c r="F133" s="11" t="str">
        <x:v>https://www.bashinkom.ru/products/prodecor/KormilitsaMikorizadlyagazona3kg</x:v>
      </x:c>
    </x:row>
    <x:row r="134" ht="62" customHeight="1">
      <x:c r="A134" s="9" t="str">
        <x:v>G12</x:v>
      </x:c>
      <x:c r="B134" s="9" t="str">
        <x:v>P0657</x:v>
      </x:c>
      <x:c r="C134" s="9" t="str">
        <x:v>БашИнком</x:v>
      </x:c>
      <x:c r="D134" s="9" t="str">
        <x:v>Кормилица Микориза для Декоративных деревьев и кустарников</x:v>
      </x:c>
      <x:c r="E134" s="9"/>
      <x:c r="F134" s="11" t="str">
        <x:v>https://www.bashinkom.ru/products/prodecor/KormilitsaMikorizadlyaDekorativnykhderevevikustarnikov10kg</x:v>
      </x:c>
    </x:row>
    <x:row r="135" ht="62" customHeight="1">
      <x:c r="A135" s="9" t="str">
        <x:v>G12</x:v>
      </x:c>
      <x:c r="B135" s="9" t="str">
        <x:v>P0658</x:v>
      </x:c>
      <x:c r="C135" s="9" t="str">
        <x:v>БашИнком</x:v>
      </x:c>
      <x:c r="D135" s="9" t="str">
        <x:v>Кормилица Микориза для Хвойных</x:v>
      </x:c>
      <x:c r="E135" s="9"/>
      <x:c r="F135" s="11" t="str">
        <x:v>https://www.bashinkom.ru/products/prodecor/KormilitsaMikorizadlyaKHvoynykh10kg</x:v>
      </x:c>
    </x:row>
    <x:row r="136" ht="62" customHeight="1">
      <x:c r="A136" s="9" t="str">
        <x:v>G12</x:v>
      </x:c>
      <x:c r="B136" s="9" t="str">
        <x:v>P0659</x:v>
      </x:c>
      <x:c r="C136" s="9" t="str">
        <x:v>БашИнком</x:v>
      </x:c>
      <x:c r="D136" s="9" t="str">
        <x:v>Кормилица Микориза для Цветов</x:v>
      </x:c>
      <x:c r="E136" s="9"/>
      <x:c r="F136" s="11" t="str">
        <x:v>https://www.bashinkom.ru/products/prodecor/KormilitsaMikorizadlyaTSvetov10kg</x:v>
      </x:c>
    </x:row>
    <x:row r="137" ht="62" customHeight="1">
      <x:c r="A137" s="9" t="str">
        <x:v>G12</x:v>
      </x:c>
      <x:c r="B137" s="9" t="str">
        <x:v>P0660</x:v>
      </x:c>
      <x:c r="C137" s="9" t="str">
        <x:v>БашИнком</x:v>
      </x:c>
      <x:c r="D137" s="9" t="str">
        <x:v>Кормилица Микориза жидкая</x:v>
      </x:c>
      <x:c r="E137" s="9"/>
      <x:c r="F137" s="11" t="str">
        <x:v>https://www.bashinkom.ru/products/ojz/Kormilitsamikorizazhidkaya</x:v>
      </x:c>
    </x:row>
    <x:row r="138" ht="62" customHeight="1">
      <x:c r="A138" s="9" t="str">
        <x:v>G12</x:v>
      </x:c>
      <x:c r="B138" s="9" t="str">
        <x:v>P0661</x:v>
      </x:c>
      <x:c r="C138" s="9" t="str">
        <x:v>БашИнком</x:v>
      </x:c>
      <x:c r="D138" s="9" t="str">
        <x:v>Кормилица Микориза УНИВЕРСАЛЬНАЯ</x:v>
      </x:c>
      <x:c r="E138" s="9"/>
      <x:c r="F138" s="11" t="str">
        <x:v>https://www.bashinkom.ru/products/prodecor/KormilitsaMikorizaUNIVERSALNAYA10kg</x:v>
      </x:c>
    </x:row>
    <x:row r="139" ht="62" customHeight="1">
      <x:c r="A139" s="9" t="str">
        <x:v>G12</x:v>
      </x:c>
      <x:c r="B139" s="9" t="str">
        <x:v>P0750</x:v>
      </x:c>
      <x:c r="C139" s="9" t="str">
        <x:v>БашИнком</x:v>
      </x:c>
      <x:c r="D139" s="9" t="str">
        <x:v>Хозяин плодородия для газона - (гранулированное с Кормилицей Микоризой)</x:v>
      </x:c>
      <x:c r="E139" s="9"/>
      <x:c r="F139" s="11" t="str">
        <x:v>https://www.bashinkom.ru/products/ojz/UdobreniegranulirovannoeDlyagazonaKHozyainPlodorodiyasKormilitseyMikorizoy30kg</x:v>
      </x:c>
    </x:row>
    <x:row r="140" ht="62" customHeight="1">
      <x:c r="A140" s="9" t="str">
        <x:v>G12</x:v>
      </x:c>
      <x:c r="B140" s="9" t="str">
        <x:v>P0751</x:v>
      </x:c>
      <x:c r="C140" s="9" t="str">
        <x:v>БашИнком</x:v>
      </x:c>
      <x:c r="D140" s="9" t="str">
        <x:v>Хозяин Плодородия с Кормилицей Микоризой</x:v>
      </x:c>
      <x:c r="E140" s="9"/>
      <x:c r="F140" s="11" t="str">
        <x:v>https://www.bashinkom.ru/products/avz/KHozyainPlodorodiyasKormilitseyMikorizoy</x:v>
      </x:c>
    </x:row>
    <x:row r="141" ht="62" customHeight="1">
      <x:c r="A141" s="9" t="str">
        <x:v>G13</x:v>
      </x:c>
      <x:c r="B141" s="9" t="str">
        <x:v>P0067</x:v>
      </x:c>
      <x:c r="C141" s="9" t="str">
        <x:v>Био-комплекс</x:v>
      </x:c>
      <x:c r="D141" s="9" t="str">
        <x:v>БИО-комплекс Бокаши</x:v>
      </x:c>
      <x:c r="E141" s="9"/>
      <x:c r="F141" s="11" t="str">
        <x:v>https://bio-kompleks.ru/catalog/vsya_produktsiya/bio_kompleks_bokashi_/</x:v>
      </x:c>
    </x:row>
    <x:row r="142" ht="62" customHeight="1">
      <x:c r="A142" s="9" t="str">
        <x:v>G13</x:v>
      </x:c>
      <x:c r="B142" s="9" t="str">
        <x:v>P0072</x:v>
      </x:c>
      <x:c r="C142" s="9" t="str">
        <x:v>Био-комплекс</x:v>
      </x:c>
      <x:c r="D142" s="9" t="str">
        <x:v>БИО-комплекс Здоровая почва, ТМ Удобряша</x:v>
      </x:c>
      <x:c r="E142" s="9"/>
      <x:c r="F142" s="11" t="str">
        <x:v>https://bio-kompleks.ru/catalog/vsya_produktsiya/bio_kompleks_zdorovaya_pochva_tm_udobryasha/</x:v>
      </x:c>
    </x:row>
    <x:row r="143" ht="62" customHeight="1">
      <x:c r="A143" s="9" t="str">
        <x:v>G13</x:v>
      </x:c>
      <x:c r="B143" s="9" t="str">
        <x:v>P0527</x:v>
      </x:c>
      <x:c r="C143" s="9" t="str">
        <x:v>БашИнком</x:v>
      </x:c>
      <x:c r="D143" s="9" t="str">
        <x:v>33 Богатыря почвооздоравливающий микробиологический препарат</x:v>
      </x:c>
      <x:c r="E143" s="9"/>
      <x:c r="F143" s="11" t="str">
        <x:v>https://www.bashinkom.ru/products/ojz/Pochvoozdoravlivayushchiymikrobiologicheskiypreparat33Bogatyrya1l</x:v>
      </x:c>
    </x:row>
    <x:row r="144" ht="62" customHeight="1">
      <x:c r="A144" s="9" t="str">
        <x:v>G13</x:v>
      </x:c>
      <x:c r="B144" s="9" t="str">
        <x:v>P0528</x:v>
      </x:c>
      <x:c r="C144" s="9" t="str">
        <x:v>БашИнком</x:v>
      </x:c>
      <x:c r="D144" s="9" t="str">
        <x:v>33 Богатыря почвооздоравливающий микробиологический препарат</x:v>
      </x:c>
      <x:c r="E144" s="9"/>
      <x:c r="F144" s="11" t="str">
        <x:v>https://www.bashinkom.ru/products/ojz/Pochvoozdoravlivayushchiymikrobiologicheskiypreparat33Bogatyryagranulirovannyy08kg</x:v>
      </x:c>
    </x:row>
    <x:row r="145" ht="62" customHeight="1">
      <x:c r="A145" s="9" t="str">
        <x:v>G13</x:v>
      </x:c>
      <x:c r="B145" s="9" t="str">
        <x:v>P0542</x:v>
      </x:c>
      <x:c r="C145" s="9" t="str">
        <x:v>БашИнком</x:v>
      </x:c>
      <x:c r="D145" s="9" t="str">
        <x:v>БиоАзФК</x:v>
      </x:c>
      <x:c r="E145" s="9"/>
      <x:c r="F145" s="11" t="str">
        <x:v>https://www.bashinkom.ru/products/ojz/BioAzFK05l</x:v>
      </x:c>
    </x:row>
    <x:row r="146" ht="62" customHeight="1">
      <x:c r="A146" s="9" t="str">
        <x:v>G13</x:v>
      </x:c>
      <x:c r="B146" s="9" t="str">
        <x:v>P0543</x:v>
      </x:c>
      <x:c r="C146" s="9" t="str">
        <x:v>БашИнком</x:v>
      </x:c>
      <x:c r="D146" s="9" t="str">
        <x:v>БиоАзФК</x:v>
      </x:c>
      <x:c r="E146" s="9"/>
      <x:c r="F146" s="11" t="str">
        <x:v>https://www.bashinkom.ru/products/avz/BioAzFK</x:v>
      </x:c>
    </x:row>
    <x:row r="147" ht="62" customHeight="1">
      <x:c r="A147" s="9" t="str">
        <x:v>G13</x:v>
      </x:c>
      <x:c r="B147" s="9" t="str">
        <x:v>P0715</x:v>
      </x:c>
      <x:c r="C147" s="9" t="str">
        <x:v>БашИнком</x:v>
      </x:c>
      <x:c r="D147" s="9" t="str">
        <x:v>Триходермикс</x:v>
      </x:c>
      <x:c r="E147" s="9"/>
      <x:c r="F147" s="11" t="str">
        <x:v>https://www.bashinkom.ru/products/ojz/Trikhodermiks-mini</x:v>
      </x:c>
    </x:row>
    <x:row r="148" ht="62" customHeight="1">
      <x:c r="A148" s="9" t="str">
        <x:v>G13</x:v>
      </x:c>
      <x:c r="B148" s="9" t="str">
        <x:v>P0716</x:v>
      </x:c>
      <x:c r="C148" s="9" t="str">
        <x:v>БашИнком</x:v>
      </x:c>
      <x:c r="D148" s="9" t="str">
        <x:v>Триходермикс</x:v>
      </x:c>
      <x:c r="E148" s="9"/>
      <x:c r="F148" s="11" t="str">
        <x:v>https://www.bashinkom.ru/products/avz/Trikhodermiks</x:v>
      </x:c>
    </x:row>
    <x:row r="149" ht="62" customHeight="1">
      <x:c r="A149" s="9" t="str">
        <x:v>G13</x:v>
      </x:c>
      <x:c r="B149" s="9" t="str">
        <x:v>P0717</x:v>
      </x:c>
      <x:c r="C149" s="9" t="str">
        <x:v>БашИнком</x:v>
      </x:c>
      <x:c r="D149" s="9" t="str">
        <x:v>Триходермикс</x:v>
      </x:c>
      <x:c r="E149" s="9"/>
      <x:c r="F149" s="11" t="str">
        <x:v>https://www.bashinkom.ru/products/prodecor/Trikhodermiks-prodecor</x:v>
      </x:c>
    </x:row>
    <x:row r="150" ht="62" customHeight="1">
      <x:c r="A150" s="9" t="str">
        <x:v>G14</x:v>
      </x:c>
      <x:c r="B150" s="9" t="str">
        <x:v>P0072</x:v>
      </x:c>
      <x:c r="C150" s="9" t="str">
        <x:v>Био-комплекс</x:v>
      </x:c>
      <x:c r="D150" s="9" t="str">
        <x:v>БИО-комплекс Здоровая почва, ТМ Удобряша</x:v>
      </x:c>
      <x:c r="E150" s="9"/>
      <x:c r="F150" s="11" t="str">
        <x:v>https://bio-kompleks.ru/catalog/vsya_produktsiya/bio_kompleks_zdorovaya_pochva_tm_udobryasha/</x:v>
      </x:c>
    </x:row>
    <x:row r="151" ht="62" customHeight="1">
      <x:c r="A151" s="9" t="str">
        <x:v>G14</x:v>
      </x:c>
      <x:c r="B151" s="9" t="str">
        <x:v>P0347</x:v>
      </x:c>
      <x:c r="C151" s="9" t="str">
        <x:v>Органик Микс</x:v>
      </x:c>
      <x:c r="D151" s="9" t="str">
        <x:v>ПОЧВОЧИСТ</x:v>
      </x:c>
      <x:c r="E151" s="9"/>
      <x:c r="F151" s="11" t="str">
        <x:v>https://organic-mix.ru/catalog/pochvochist-850-g/</x:v>
      </x:c>
    </x:row>
    <x:row r="152" ht="62" customHeight="1">
      <x:c r="A152" s="9" t="str">
        <x:v>G14</x:v>
      </x:c>
      <x:c r="B152" s="9" t="str">
        <x:v>P0351</x:v>
      </x:c>
      <x:c r="C152" s="9" t="str">
        <x:v>Органик Микс</x:v>
      </x:c>
      <x:c r="D152" s="9" t="str">
        <x:v>ПОЧВОЧИСТ палочки для Комнатных растений</x:v>
      </x:c>
      <x:c r="E152" s="9"/>
      <x:c r="F152" s="11" t="str">
        <x:v>https://organic-mix.ru/catalog/pochvochist-palochki-dlya-komnatnykh-rasteniy-150-gr-organik-miks/</x:v>
      </x:c>
    </x:row>
    <x:row r="153" ht="62" customHeight="1">
      <x:c r="A153" s="9" t="str">
        <x:v>G14</x:v>
      </x:c>
      <x:c r="B153" s="9" t="str">
        <x:v>P0352</x:v>
      </x:c>
      <x:c r="C153" s="9" t="str">
        <x:v>Органик Микс</x:v>
      </x:c>
      <x:c r="D153" s="9" t="str">
        <x:v>ПОЧВОЧИСТ палочки для Рассады</x:v>
      </x:c>
      <x:c r="E153" s="9"/>
      <x:c r="F153" s="11" t="str">
        <x:v>https://organic-mix.ru/catalog/pochvochist-palochki-dlya-rassady-150-gr-organik-miks/</x:v>
      </x:c>
    </x:row>
    <x:row r="154" ht="62" customHeight="1">
      <x:c r="A154" s="9" t="str">
        <x:v>G15</x:v>
      </x:c>
      <x:c r="B154" s="9" t="str">
        <x:v>P0255</x:v>
      </x:c>
      <x:c r="C154" s="9" t="str">
        <x:v>5сезонов</x:v>
      </x:c>
      <x:c r="D154" s="9" t="str">
        <x:v>MAXI Рост антигусеница с лепидоцидом</x:v>
      </x:c>
      <x:c r="E154" s="9"/>
      <x:c r="F154" s="11" t="str">
        <x:v>https://5-sezonov.ru/</x:v>
      </x:c>
    </x:row>
    <x:row r="155" ht="62" customHeight="1">
      <x:c r="A155" s="9" t="str">
        <x:v>G15</x:v>
      </x:c>
      <x:c r="B155" s="9" t="str">
        <x:v>P0303</x:v>
      </x:c>
      <x:c r="C155" s="9" t="str">
        <x:v>Органик Микс</x:v>
      </x:c>
      <x:c r="D155" s="9" t="str">
        <x:v>Гусеницам НЕТ - от гусениц</x:v>
      </x:c>
      <x:c r="E155" s="9"/>
      <x:c r="F155" s="11" t="str">
        <x:v>https://organic-mix.ru/catalog/gusenitsam-net-ot-gusenits-180-gr/</x:v>
      </x:c>
    </x:row>
    <x:row r="156" ht="62" customHeight="1">
      <x:c r="A156" s="9" t="str">
        <x:v>G15</x:v>
      </x:c>
      <x:c r="B156" s="9" t="str">
        <x:v>P0595</x:v>
      </x:c>
      <x:c r="C156" s="9" t="str">
        <x:v>БашИнком</x:v>
      </x:c>
      <x:c r="D156" s="9" t="str">
        <x:v>Гуми + БТБ Картофель +</x:v>
      </x:c>
      <x:c r="E156" s="9"/>
      <x:c r="F156" s="11" t="str">
        <x:v>https://www.bashinkom.ru/products/ojz/GumiBTBKARTOFELotkoloradskogozhukadvukhkomponentnyy6g100g</x:v>
      </x:c>
    </x:row>
    <x:row r="157" ht="62" customHeight="1">
      <x:c r="A157" s="9" t="str">
        <x:v>G15</x:v>
      </x:c>
      <x:c r="B157" s="9" t="str">
        <x:v>P0718</x:v>
      </x:c>
      <x:c r="C157" s="9" t="str">
        <x:v>БашИнком</x:v>
      </x:c>
      <x:c r="D157" s="9" t="str">
        <x:v>ТуринБаш, Ж</x:v>
      </x:c>
      <x:c r="E157" s="9"/>
      <x:c r="F157" s="11" t="str">
        <x:v>https://www.bashinkom.ru/products/ojz/TurinBashZH200ml500ml</x:v>
      </x:c>
    </x:row>
    <x:row r="158" ht="62" customHeight="1">
      <x:c r="A158" s="9" t="str">
        <x:v>G15</x:v>
      </x:c>
      <x:c r="B158" s="9" t="str">
        <x:v>P0719</x:v>
      </x:c>
      <x:c r="C158" s="9" t="str">
        <x:v>БашИнком</x:v>
      </x:c>
      <x:c r="D158" s="9" t="str">
        <x:v>ТуринБаш-Ж</x:v>
      </x:c>
      <x:c r="E158" s="9"/>
      <x:c r="F158" s="11" t="str">
        <x:v>https://www.bashinkom.ru/products/avz/TurinBashG</x:v>
      </x:c>
    </x:row>
    <x:row r="159" ht="62" customHeight="1">
      <x:c r="A159" s="9" t="str">
        <x:v>G16</x:v>
      </x:c>
      <x:c r="B159" s="9" t="str">
        <x:v>P0072</x:v>
      </x:c>
      <x:c r="C159" s="9" t="str">
        <x:v>Био-комплекс</x:v>
      </x:c>
      <x:c r="D159" s="9" t="str">
        <x:v>БИО-комплекс Здоровая почва, ТМ Удобряша</x:v>
      </x:c>
      <x:c r="E159" s="9"/>
      <x:c r="F159" s="11" t="str">
        <x:v>https://bio-kompleks.ru/catalog/vsya_produktsiya/bio_kompleks_zdorovaya_pochva_tm_udobryasha/</x:v>
      </x:c>
    </x:row>
    <x:row r="160" ht="62" customHeight="1">
      <x:c r="A160" s="9" t="str">
        <x:v>G16</x:v>
      </x:c>
      <x:c r="B160" s="9" t="str">
        <x:v>P0251</x:v>
      </x:c>
      <x:c r="C160" s="9" t="str">
        <x:v>5сезонов</x:v>
      </x:c>
      <x:c r="D160" s="9" t="str">
        <x:v>MAXI Гумат противоклещ с метаризином</x:v>
      </x:c>
      <x:c r="E160" s="9"/>
      <x:c r="F160" s="11" t="str">
        <x:v>https://5-sezonov.ru/</x:v>
      </x:c>
    </x:row>
    <x:row r="161" ht="62" customHeight="1">
      <x:c r="A161" s="9" t="str">
        <x:v>G16</x:v>
      </x:c>
      <x:c r="B161" s="9" t="str">
        <x:v>P0571</x:v>
      </x:c>
      <x:c r="C161" s="9" t="str">
        <x:v>БашИнком</x:v>
      </x:c>
      <x:c r="D161" s="9" t="str">
        <x:v>Боверикс</x:v>
      </x:c>
      <x:c r="E161" s="9"/>
      <x:c r="F161" s="11" t="str">
        <x:v>https://www.bashinkom.ru/products/prodecor/BoveriksZH-prodecor</x:v>
      </x:c>
    </x:row>
    <x:row r="162" ht="62" customHeight="1">
      <x:c r="A162" s="9" t="str">
        <x:v>G16</x:v>
      </x:c>
      <x:c r="B162" s="9" t="str">
        <x:v>P0572</x:v>
      </x:c>
      <x:c r="C162" s="9" t="str">
        <x:v>БашИнком</x:v>
      </x:c>
      <x:c r="D162" s="9" t="str">
        <x:v>Боверикс, Ж</x:v>
      </x:c>
      <x:c r="E162" s="9"/>
      <x:c r="F162" s="11" t="str">
        <x:v>https://www.bashinkom.ru/products/ojz/BoveriksZH500ml200ml</x:v>
      </x:c>
    </x:row>
    <x:row r="163" ht="62" customHeight="1">
      <x:c r="A163" s="9" t="str">
        <x:v>G17</x:v>
      </x:c>
      <x:c r="B163" s="9" t="str">
        <x:v>P0076</x:v>
      </x:c>
      <x:c r="C163" s="9" t="str">
        <x:v>Био-комплекс</x:v>
      </x:c>
      <x:c r="D163" s="9" t="str">
        <x:v>БИО-комплекс МАГ ПРЕМИУМ от вредителей, пульверизатор</x:v>
      </x:c>
      <x:c r="E163" s="9"/>
      <x:c r="F163" s="11" t="str">
        <x:v>https://bio-kompleks.ru/catalog/vsya_produktsiya/bio_kompleks_mag_premium_ot_vrediteley_pulverizator_1_l_14/</x:v>
      </x:c>
    </x:row>
    <x:row r="164" ht="62" customHeight="1">
      <x:c r="A164" s="9" t="str">
        <x:v>G17</x:v>
      </x:c>
      <x:c r="B164" s="9" t="str">
        <x:v>P0077</x:v>
      </x:c>
      <x:c r="C164" s="9" t="str">
        <x:v>Био-комплекс</x:v>
      </x:c>
      <x:c r="D164" s="9" t="str">
        <x:v>БИО-комплекс МАГ Средство от белокрылки</x:v>
      </x:c>
      <x:c r="E164" s="9"/>
      <x:c r="F164" s="11" t="str">
        <x:v>https://bio-kompleks.ru/catalog/vsya_produktsiya/bio_kompleks_mag_sredstvo_ot_belokrylki/</x:v>
      </x:c>
    </x:row>
    <x:row r="165" ht="62" customHeight="1">
      <x:c r="A165" s="9" t="str">
        <x:v>G17</x:v>
      </x:c>
      <x:c r="B165" s="9" t="str">
        <x:v>P0078</x:v>
      </x:c>
      <x:c r="C165" s="9" t="str">
        <x:v>Био-комплекс</x:v>
      </x:c>
      <x:c r="D165" s="9" t="str">
        <x:v>БИО-комплекс МАГ Средство от паутинного клеща</x:v>
      </x:c>
      <x:c r="E165" s="9"/>
      <x:c r="F165" s="11" t="str">
        <x:v>https://bio-kompleks.ru/catalog/vsya_produktsiya/bio_kompleks_mag_sredstvo_ot_pautinnogo_kleshcha/</x:v>
      </x:c>
    </x:row>
    <x:row r="166" ht="62" customHeight="1">
      <x:c r="A166" s="9" t="str">
        <x:v>G17</x:v>
      </x:c>
      <x:c r="B166" s="9" t="str">
        <x:v>P0129</x:v>
      </x:c>
      <x:c r="C166" s="9" t="str">
        <x:v>Био-комплекс</x:v>
      </x:c>
      <x:c r="D166" s="9" t="str">
        <x:v>БИО-комплекс Экстракт Кедра</x:v>
      </x:c>
      <x:c r="E166" s="9"/>
      <x:c r="F166" s="11" t="str">
        <x:v>https://bio-kompleks.ru/catalog/vsya_produktsiya/bio_kompleks_ekstrakt_kedra_/</x:v>
      </x:c>
    </x:row>
    <x:row r="167" ht="62" customHeight="1">
      <x:c r="A167" s="9" t="str">
        <x:v>G17</x:v>
      </x:c>
      <x:c r="B167" s="9" t="str">
        <x:v>P0130</x:v>
      </x:c>
      <x:c r="C167" s="9" t="str">
        <x:v>Био-комплекс</x:v>
      </x:c>
      <x:c r="D167" s="9" t="str">
        <x:v>БИО-комплекс Экстракт Хвои</x:v>
      </x:c>
      <x:c r="E167" s="9"/>
      <x:c r="F167" s="11" t="str">
        <x:v>https://bio-kompleks.ru/catalog/vsya_produktsiya/bio_kompleks_ekstrakt_khvoi_/</x:v>
      </x:c>
    </x:row>
    <x:row r="168" ht="62" customHeight="1">
      <x:c r="A168" s="9" t="str">
        <x:v>G17</x:v>
      </x:c>
      <x:c r="B168" s="9" t="str">
        <x:v>P0258</x:v>
      </x:c>
      <x:c r="C168" s="9" t="str">
        <x:v>5сезонов</x:v>
      </x:c>
      <x:c r="D168" s="9" t="str">
        <x:v>MAXI Щит горные травы</x:v>
      </x:c>
      <x:c r="E168" s="9"/>
      <x:c r="F168" s="11" t="str">
        <x:v>https://5-sezonov.ru/</x:v>
      </x:c>
    </x:row>
    <x:row r="169" ht="62" customHeight="1">
      <x:c r="A169" s="9" t="str">
        <x:v>G17</x:v>
      </x:c>
      <x:c r="B169" s="9" t="str">
        <x:v>P0263</x:v>
      </x:c>
      <x:c r="C169" s="9" t="str">
        <x:v>Органик Микс</x:v>
      </x:c>
      <x:c r="D169" s="9" t="str">
        <x:v>АНТИТРИПСИН - от трипса</x:v>
      </x:c>
      <x:c r="E169" s="9"/>
      <x:c r="F169" s="11" t="str">
        <x:v>https://organic-mix.ru/catalog/antitripsin-ot-tripsa-100-ml/</x:v>
      </x:c>
    </x:row>
    <x:row r="170" ht="62" customHeight="1">
      <x:c r="A170" s="9" t="str">
        <x:v>G17</x:v>
      </x:c>
      <x:c r="B170" s="9" t="str">
        <x:v>P0265</x:v>
      </x:c>
      <x:c r="C170" s="9" t="str">
        <x:v>Органик Микс</x:v>
      </x:c>
      <x:c r="D170" s="9" t="str">
        <x:v>АРОМАЩИТ для клубники</x:v>
      </x:c>
      <x:c r="E170" s="9"/>
      <x:c r="F170" s="11" t="str">
        <x:v>https://organic-mix.ru/catalog/aromashchit-dlya-klubniki-240-ml/</x:v>
      </x:c>
    </x:row>
    <x:row r="171" ht="62" customHeight="1">
      <x:c r="A171" s="9" t="str">
        <x:v>G17</x:v>
      </x:c>
      <x:c r="B171" s="9" t="str">
        <x:v>P0266</x:v>
      </x:c>
      <x:c r="C171" s="9" t="str">
        <x:v>Органик Микс</x:v>
      </x:c>
      <x:c r="D171" s="9" t="str">
        <x:v>АРОМАЩИТ для комнатных растений - препарат для профилактики, отпугивания,уничтожения вредителей</x:v>
      </x:c>
      <x:c r="E171" s="9"/>
      <x:c r="F171" s="11" t="str">
        <x:v>https://organic-mix.ru/catalog/aromashchit-dlya-komnatnykh-rasteniy-30ml/</x:v>
      </x:c>
    </x:row>
    <x:row r="172" ht="62" customHeight="1">
      <x:c r="A172" s="9" t="str">
        <x:v>G17</x:v>
      </x:c>
      <x:c r="B172" s="9" t="str">
        <x:v>P0267</x:v>
      </x:c>
      <x:c r="C172" s="9" t="str">
        <x:v>Органик Микс</x:v>
      </x:c>
      <x:c r="D172" s="9" t="str">
        <x:v>АРОМАЩИТ для огурцов и овощных культур</x:v>
      </x:c>
      <x:c r="E172" s="9"/>
      <x:c r="F172" s="11" t="str">
        <x:v>https://organic-mix.ru/catalog/aromashchit-dlya-ogurtsov-i-ovoshchnykh-kultur-240-ml/</x:v>
      </x:c>
    </x:row>
    <x:row r="173" ht="62" customHeight="1">
      <x:c r="A173" s="9" t="str">
        <x:v>G17</x:v>
      </x:c>
      <x:c r="B173" s="9" t="str">
        <x:v>P0268</x:v>
      </x:c>
      <x:c r="C173" s="9" t="str">
        <x:v>Органик Микс</x:v>
      </x:c>
      <x:c r="D173" s="9" t="str">
        <x:v>АРОМАЩИТ для плодовых деревьев</x:v>
      </x:c>
      <x:c r="E173" s="9"/>
      <x:c r="F173" s="11" t="str">
        <x:v>https://organic-mix.ru/catalog/aromashchit-dlya-plodovykh-derevev-240-ml/</x:v>
      </x:c>
    </x:row>
    <x:row r="174" ht="62" customHeight="1">
      <x:c r="A174" s="9" t="str">
        <x:v>G17</x:v>
      </x:c>
      <x:c r="B174" s="9" t="str">
        <x:v>P0269</x:v>
      </x:c>
      <x:c r="C174" s="9" t="str">
        <x:v>Органик Микс</x:v>
      </x:c>
      <x:c r="D174" s="9" t="str">
        <x:v>АРОМАЩИТ для рассады - для профилактики, отпугивания и уничтожения вредителей</x:v>
      </x:c>
      <x:c r="E174" s="9"/>
      <x:c r="F174" s="11" t="str">
        <x:v>https://organic-mix.ru/catalog/aromashchit-dlya-rassady-30-ml/</x:v>
      </x:c>
    </x:row>
    <x:row r="175" ht="62" customHeight="1">
      <x:c r="A175" s="9" t="str">
        <x:v>G17</x:v>
      </x:c>
      <x:c r="B175" s="9" t="str">
        <x:v>P0270</x:v>
      </x:c>
      <x:c r="C175" s="9" t="str">
        <x:v>Органик Микс</x:v>
      </x:c>
      <x:c r="D175" s="9" t="str">
        <x:v>АРОМАЩИТ для роз и цветов</x:v>
      </x:c>
      <x:c r="E175" s="9"/>
      <x:c r="F175" s="11" t="str">
        <x:v>https://organic-mix.ru/catalog/aromashchit-dlya-roz-i-tsvetov-240-ml/</x:v>
      </x:c>
    </x:row>
    <x:row r="176" ht="62" customHeight="1">
      <x:c r="A176" s="9" t="str">
        <x:v>G17</x:v>
      </x:c>
      <x:c r="B176" s="9" t="str">
        <x:v>P0271</x:v>
      </x:c>
      <x:c r="C176" s="9" t="str">
        <x:v>Органик Микс</x:v>
      </x:c>
      <x:c r="D176" s="9" t="str">
        <x:v>АРОМАЩИТ для смородины и ягодных кустарников</x:v>
      </x:c>
      <x:c r="E176" s="9"/>
      <x:c r="F176" s="11" t="str">
        <x:v>https://organic-mix.ru/catalog/aromashchit-dlya-smorodiny-i-yagodnykh-kustarnikov-240-ml/</x:v>
      </x:c>
    </x:row>
    <x:row r="177" ht="62" customHeight="1">
      <x:c r="A177" s="9" t="str">
        <x:v>G17</x:v>
      </x:c>
      <x:c r="B177" s="9" t="str">
        <x:v>P0272</x:v>
      </x:c>
      <x:c r="C177" s="9" t="str">
        <x:v>Органик Микс</x:v>
      </x:c>
      <x:c r="D177" s="9" t="str">
        <x:v>АРОМАЩИТ для теплиц</x:v>
      </x:c>
      <x:c r="E177" s="9"/>
      <x:c r="F177" s="11" t="str">
        <x:v>https://organic-mix.ru/catalog/aromashchit-dlya-teplits-240-ml/</x:v>
      </x:c>
    </x:row>
    <x:row r="178" ht="62" customHeight="1">
      <x:c r="A178" s="9" t="str">
        <x:v>G17</x:v>
      </x:c>
      <x:c r="B178" s="9" t="str">
        <x:v>P0273</x:v>
      </x:c>
      <x:c r="C178" s="9" t="str">
        <x:v>Органик Микс</x:v>
      </x:c>
      <x:c r="D178" s="9" t="str">
        <x:v>АРОМАЩИТ для хвойных</x:v>
      </x:c>
      <x:c r="E178" s="9"/>
      <x:c r="F178" s="11" t="str">
        <x:v>https://organic-mix.ru/catalog/aromashchit-dlya-khvoynykh-240-ml/</x:v>
      </x:c>
    </x:row>
    <x:row r="179" ht="62" customHeight="1">
      <x:c r="A179" s="9" t="str">
        <x:v>G17</x:v>
      </x:c>
      <x:c r="B179" s="9" t="str">
        <x:v>P0274</x:v>
      </x:c>
      <x:c r="C179" s="9" t="str">
        <x:v>Органик Микс</x:v>
      </x:c>
      <x:c r="D179" s="9" t="str">
        <x:v>АРОМАЩИТ универсальный</x:v>
      </x:c>
      <x:c r="E179" s="9"/>
      <x:c r="F179" s="11" t="str">
        <x:v>https://organic-mix.ru/catalog/aromashchit-universalnyy-240-ml/</x:v>
      </x:c>
    </x:row>
    <x:row r="180" ht="62" customHeight="1">
      <x:c r="A180" s="9" t="str">
        <x:v>G17</x:v>
      </x:c>
      <x:c r="B180" s="9" t="str">
        <x:v>P0275</x:v>
      </x:c>
      <x:c r="C180" s="9" t="str">
        <x:v>Органик Микс</x:v>
      </x:c>
      <x:c r="D180" s="9" t="str">
        <x:v>БЕЗПАУТИН - от паутинного клеща</x:v>
      </x:c>
      <x:c r="E180" s="9"/>
      <x:c r="F180" s="11" t="str">
        <x:v>https://organic-mix.ru/catalog/bezpautin-ot-pautinnogo-kleshcha-100-ml/</x:v>
      </x:c>
    </x:row>
    <x:row r="181" ht="62" customHeight="1">
      <x:c r="A181" s="9" t="str">
        <x:v>G17</x:v>
      </x:c>
      <x:c r="B181" s="9" t="str">
        <x:v>P0277</x:v>
      </x:c>
      <x:c r="C181" s="9" t="str">
        <x:v>Органик Микс</x:v>
      </x:c>
      <x:c r="D181" s="9" t="str">
        <x:v>БИО БЛАСТЕР для комнатных - от насекомых-вредителей</x:v>
      </x:c>
      <x:c r="E181" s="9"/>
      <x:c r="F181" s="11" t="str">
        <x:v>https://organic-mix.ru/catalog/bio-blaster-dlya-komnatnykh-ot-nasekomykh-vrediteley-10-ml/</x:v>
      </x:c>
    </x:row>
    <x:row r="182" ht="62" customHeight="1">
      <x:c r="A182" s="9" t="str">
        <x:v>G17</x:v>
      </x:c>
      <x:c r="B182" s="9" t="str">
        <x:v>P0278</x:v>
      </x:c>
      <x:c r="C182" s="9" t="str">
        <x:v>Органик Микс</x:v>
      </x:c>
      <x:c r="D182" s="9" t="str">
        <x:v>БИО БЛАСТЕР для овощей - от насекомых-вредителей</x:v>
      </x:c>
      <x:c r="E182" s="9"/>
      <x:c r="F182" s="11" t="str">
        <x:v>https://organic-mix.ru/catalog/bioblaster-dlya-ovoshchey-ot-nasekomykh-vrediteley-100-ml/</x:v>
      </x:c>
    </x:row>
    <x:row r="183" ht="62" customHeight="1">
      <x:c r="A183" s="9" t="str">
        <x:v>G17</x:v>
      </x:c>
      <x:c r="B183" s="9" t="str">
        <x:v>P0279</x:v>
      </x:c>
      <x:c r="C183" s="9" t="str">
        <x:v>Органик Микс</x:v>
      </x:c>
      <x:c r="D183" s="9" t="str">
        <x:v>БИО БЛАСТЕР для орхидей - от насекомых-вредителей</x:v>
      </x:c>
      <x:c r="E183" s="9"/>
      <x:c r="F183" s="11" t="str">
        <x:v>https://organic-mix.ru/catalog/bio-blaster-dlya-orkhidey-ot-nasekomykh-vrediteley-10-ml/</x:v>
      </x:c>
    </x:row>
    <x:row r="184" ht="62" customHeight="1">
      <x:c r="A184" s="9" t="str">
        <x:v>G17</x:v>
      </x:c>
      <x:c r="B184" s="9" t="str">
        <x:v>P0280</x:v>
      </x:c>
      <x:c r="C184" s="9" t="str">
        <x:v>Органик Микс</x:v>
      </x:c>
      <x:c r="D184" s="9" t="str">
        <x:v>БИО БЛАСТЕР для рассады - от насекомых-вредителей</x:v>
      </x:c>
      <x:c r="E184" s="9"/>
      <x:c r="F184" s="11" t="str">
        <x:v>https://organic-mix.ru/catalog/bio-blaster-dlya-rassady-ot-nasekomykh-vrediteley-10-ml/</x:v>
      </x:c>
    </x:row>
    <x:row r="185" ht="62" customHeight="1">
      <x:c r="A185" s="9" t="str">
        <x:v>G17</x:v>
      </x:c>
      <x:c r="B185" s="9" t="str">
        <x:v>P0281</x:v>
      </x:c>
      <x:c r="C185" s="9" t="str">
        <x:v>Органик Микс</x:v>
      </x:c>
      <x:c r="D185" s="9" t="str">
        <x:v>БИО БЛАСТЕР для роз - от насекомых-вредителей</x:v>
      </x:c>
      <x:c r="E185" s="9"/>
      <x:c r="F185" s="11" t="str">
        <x:v>https://organic-mix.ru/catalog/bio-blaster-dlya-roz-ot-nasekomykh-vrediteley-10-ml/</x:v>
      </x:c>
    </x:row>
    <x:row r="186" ht="62" customHeight="1">
      <x:c r="A186" s="9" t="str">
        <x:v>G17</x:v>
      </x:c>
      <x:c r="B186" s="9" t="str">
        <x:v>P0282</x:v>
      </x:c>
      <x:c r="C186" s="9" t="str">
        <x:v>Органик Микс</x:v>
      </x:c>
      <x:c r="D186" s="9" t="str">
        <x:v>БИО БЛАСТЕР для теплиц - от насекомых-вредителей</x:v>
      </x:c>
      <x:c r="E186" s="9"/>
      <x:c r="F186" s="11" t="str">
        <x:v>https://organic-mix.ru/catalog/bioblaster-dlya-teplits-ot-nasekomykh-vrediteley-100-ml-/</x:v>
      </x:c>
    </x:row>
    <x:row r="187" ht="62" customHeight="1">
      <x:c r="A187" s="9" t="str">
        <x:v>G17</x:v>
      </x:c>
      <x:c r="B187" s="9" t="str">
        <x:v>P0283</x:v>
      </x:c>
      <x:c r="C187" s="9" t="str">
        <x:v>Органик Микс</x:v>
      </x:c>
      <x:c r="D187" s="9" t="str">
        <x:v>БИО БЛАСТЕР универсальный - от насекомых-вредителей</x:v>
      </x:c>
      <x:c r="E187" s="9"/>
      <x:c r="F187" s="11" t="str">
        <x:v>https://organic-mix.ru/catalog/bioblaster-universalnyy-ot-nasekomykh-vrediteley-100-ml-/</x:v>
      </x:c>
    </x:row>
    <x:row r="188" ht="62" customHeight="1">
      <x:c r="A188" s="9" t="str">
        <x:v>G17</x:v>
      </x:c>
      <x:c r="B188" s="9" t="str">
        <x:v>P0290</x:v>
      </x:c>
      <x:c r="C188" s="9" t="str">
        <x:v>Органик Микс</x:v>
      </x:c>
      <x:c r="D188" s="9" t="str">
        <x:v>БИОЗАЩИТИН в ампуле - органическое средство защиты растений 3 в 1</x:v>
      </x:c>
      <x:c r="E188" s="9"/>
      <x:c r="F188" s="11" t="str">
        <x:v>https://organic-mix.ru/catalog/biozashchitin-v-ampule-organicheskoe-sredstvo-zashchity-rasteniy-3-v-1-5-ml/</x:v>
      </x:c>
    </x:row>
    <x:row r="189" ht="62" customHeight="1">
      <x:c r="A189" s="9" t="str">
        <x:v>G17</x:v>
      </x:c>
      <x:c r="B189" s="9" t="str">
        <x:v>P0362</x:v>
      </x:c>
      <x:c r="C189" s="9" t="str">
        <x:v>Органик Микс</x:v>
      </x:c>
      <x:c r="D189" s="9" t="str">
        <x:v>ТЛИНИН - от тли</x:v>
      </x:c>
      <x:c r="E189" s="9"/>
      <x:c r="F189" s="11" t="str">
        <x:v>https://organic-mix.ru/catalog/tlinin-ot-tli-100-ml/</x:v>
      </x:c>
    </x:row>
    <x:row r="190" ht="62" customHeight="1">
      <x:c r="A190" s="9" t="str">
        <x:v>G17</x:v>
      </x:c>
      <x:c r="B190" s="9" t="str">
        <x:v>P0391</x:v>
      </x:c>
      <x:c r="C190" s="9" t="str">
        <x:v>Органик Микс</x:v>
      </x:c>
      <x:c r="D190" s="9" t="str">
        <x:v>ФИТОКИЛЛ для Весенней обработки сада</x:v>
      </x:c>
      <x:c r="E190" s="9"/>
      <x:c r="F190" s="11" t="str">
        <x:v>https://organic-mix.ru/catalog/fitokill-dlya-vesenney-obrabotki-sada-240-ml/</x:v>
      </x:c>
    </x:row>
    <x:row r="191" ht="62" customHeight="1">
      <x:c r="A191" s="9" t="str">
        <x:v>G18</x:v>
      </x:c>
      <x:c r="B191" s="9" t="str">
        <x:v>P0071</x:v>
      </x:c>
      <x:c r="C191" s="9" t="str">
        <x:v>Био-комплекс</x:v>
      </x:c>
      <x:c r="D191" s="9" t="str">
        <x:v>БИО-комплекс Здоровая вершинка, ТМ МАГ</x:v>
      </x:c>
      <x:c r="E191" s="9"/>
      <x:c r="F191" s="11" t="str">
        <x:v>https://bio-kompleks.ru/catalog/vsya_produktsiya/bio_kompleks_zdorovaya_vershinka_tm_mag_10_g_15/</x:v>
      </x:c>
    </x:row>
    <x:row r="192" ht="62" customHeight="1">
      <x:c r="A192" s="9" t="str">
        <x:v>G18</x:v>
      </x:c>
      <x:c r="B192" s="9" t="str">
        <x:v>P0229</x:v>
      </x:c>
      <x:c r="C192" s="9" t="str">
        <x:v>Био-комплекс</x:v>
      </x:c>
      <x:c r="D192" s="9" t="str">
        <x:v>Ультрамаг Кальций, для плодов</x:v>
      </x:c>
      <x:c r="E192" s="9"/>
      <x:c r="F192" s="11" t="str">
        <x:v>https://bio-kompleks.ru/catalog/vsya_produktsiya/ultramag_kaltsiy_dlya_plodov_amp_10_ml/</x:v>
      </x:c>
    </x:row>
    <x:row r="193" ht="62" customHeight="1">
      <x:c r="A193" s="9" t="str">
        <x:v>G18</x:v>
      </x:c>
      <x:c r="B193" s="9" t="str">
        <x:v>P0262</x:v>
      </x:c>
      <x:c r="C193" s="9" t="str">
        <x:v>Органик Микс</x:v>
      </x:c>
      <x:c r="D193" s="9" t="str">
        <x:v>АнтиВершинка</x:v>
      </x:c>
      <x:c r="E193" s="9"/>
      <x:c r="F193" s="11" t="str">
        <x:v>https://organic-mix.ru/catalog/antivershinka/</x:v>
      </x:c>
    </x:row>
    <x:row r="194" ht="62" customHeight="1">
      <x:c r="A194" s="9" t="str">
        <x:v>G18</x:v>
      </x:c>
      <x:c r="B194" s="9" t="str">
        <x:v>P0551</x:v>
      </x:c>
      <x:c r="C194" s="9" t="str">
        <x:v>БашИнком</x:v>
      </x:c>
      <x:c r="D194" s="9" t="str">
        <x:v>Бионекс-Кеми Жидкий NCa 7:10</x:v>
      </x:c>
      <x:c r="E194" s="9"/>
      <x:c r="F194" s="11" t="str">
        <x:v>https://www.bashinkom.ru/products/avz/BioneksKemiZHidkiyNCa710</x:v>
      </x:c>
    </x:row>
    <x:row r="195" ht="62" customHeight="1">
      <x:c r="A195" s="9" t="str">
        <x:v>G18</x:v>
      </x:c>
      <x:c r="B195" s="9" t="str">
        <x:v>P0582</x:v>
      </x:c>
      <x:c r="C195" s="9" t="str">
        <x:v>БашИнком</x:v>
      </x:c>
      <x:c r="D195" s="9" t="str">
        <x:v>Богатый-Микро Кальций 1%</x:v>
      </x:c>
      <x:c r="E195" s="9"/>
      <x:c r="F195" s="11" t="str">
        <x:v>https://www.bashinkom.ru/products/ojz/BogatyyMikroKaltsiy1</x:v>
      </x:c>
    </x:row>
    <x:row r="196" ht="62" customHeight="1">
      <x:c r="A196" s="9" t="str">
        <x:v>G19</x:v>
      </x:c>
      <x:c r="B196" s="9" t="str">
        <x:v>P0230</x:v>
      </x:c>
      <x:c r="C196" s="9" t="str">
        <x:v>Био-комплекс</x:v>
      </x:c>
      <x:c r="D196" s="9" t="str">
        <x:v>Ультрамаг Хелат Железа, от пожелтения листьев</x:v>
      </x:c>
      <x:c r="E196" s="9"/>
      <x:c r="F196" s="11" t="str">
        <x:v>https://bio-kompleks.ru/catalog/vsya_produktsiya/ultramag_khelat_zheleza_ot_pozhelteniya_listev_paket_10_g/</x:v>
      </x:c>
    </x:row>
    <x:row r="197" ht="62" customHeight="1">
      <x:c r="A197" s="9" t="str">
        <x:v>G19</x:v>
      </x:c>
      <x:c r="B197" s="9" t="str">
        <x:v>P0264</x:v>
      </x:c>
      <x:c r="C197" s="9" t="str">
        <x:v>Органик Микс</x:v>
      </x:c>
      <x:c r="D197" s="9" t="str">
        <x:v>АнтиХлорозин</x:v>
      </x:c>
      <x:c r="E197" s="9"/>
      <x:c r="F197" s="11" t="str">
        <x:v>https://organic-mix.ru/catalog/antikhlorozin/</x:v>
      </x:c>
    </x:row>
    <x:row r="198" ht="62" customHeight="1">
      <x:c r="A198" s="9" t="str">
        <x:v>G19</x:v>
      </x:c>
      <x:c r="B198" s="9" t="str">
        <x:v>P0561</x:v>
      </x:c>
      <x:c r="C198" s="9" t="str">
        <x:v>БашИнком</x:v>
      </x:c>
      <x:c r="D198" s="9" t="str">
        <x:v>Биополимик -Fe</x:v>
      </x:c>
      <x:c r="E198" s="9"/>
      <x:c r="F198" s="11" t="str">
        <x:v>https://www.bashinkom.ru/products/avz/BiopolimikFe</x:v>
      </x:c>
    </x:row>
    <x:row r="199" ht="62" customHeight="1">
      <x:c r="A199" s="9" t="str">
        <x:v>G19</x:v>
      </x:c>
      <x:c r="B199" s="9" t="str">
        <x:v>P0580</x:v>
      </x:c>
      <x:c r="C199" s="9" t="str">
        <x:v>БашИнком</x:v>
      </x:c>
      <x:c r="D199" s="9" t="str">
        <x:v>Богатый–Микро Железо (Fe) 2% + микроэлементы</x:v>
      </x:c>
      <x:c r="E199" s="9"/>
      <x:c r="F199" s="11" t="str">
        <x:v>https://www.bashinkom.ru/products/ojz/BOGATYYMIKROZHelezoFe2mikroelementy100ml</x:v>
      </x:c>
    </x:row>
    <x:row r="200" ht="62" customHeight="1">
      <x:c r="A200" s="9" t="str">
        <x:v>G20</x:v>
      </x:c>
      <x:c r="B200" s="9" t="str">
        <x:v>P0311</x:v>
      </x:c>
      <x:c r="C200" s="9" t="str">
        <x:v>Органик Микс</x:v>
      </x:c>
      <x:c r="D200" s="9" t="str">
        <x:v>Магний органический</x:v>
      </x:c>
      <x:c r="E200" s="9"/>
      <x:c r="F200" s="11" t="str">
        <x:v>https://organic-mix.ru/catalog/magniy-organicheskiy-350-gr-organiks-miks/</x:v>
      </x:c>
    </x:row>
    <x:row r="201" ht="62" customHeight="1">
      <x:c r="A201" s="9" t="str">
        <x:v>G20</x:v>
      </x:c>
      <x:c r="B201" s="9" t="str">
        <x:v>P0536</x:v>
      </x:c>
      <x:c r="C201" s="9" t="str">
        <x:v>БашИнком</x:v>
      </x:c>
      <x:c r="D201" s="9" t="str">
        <x:v>Башполимик – NSMg</x:v>
      </x:c>
      <x:c r="E201" s="9"/>
      <x:c r="F201" s="11" t="str">
        <x:v>https://www.bashinkom.ru/products/avz/BashpolimikNSMg</x:v>
      </x:c>
    </x:row>
    <x:row r="202" ht="62" customHeight="1">
      <x:c r="A202" s="9" t="str">
        <x:v>G20</x:v>
      </x:c>
      <x:c r="B202" s="9" t="str">
        <x:v>P0584</x:v>
      </x:c>
      <x:c r="C202" s="9" t="str">
        <x:v>БашИнком</x:v>
      </x:c>
      <x:c r="D202" s="9" t="str">
        <x:v>Богатый-Микро Магний 1%</x:v>
      </x:c>
      <x:c r="E202" s="9"/>
      <x:c r="F202" s="11" t="str">
        <x:v>https://www.bashinkom.ru/products/ojz/ZelyenoekhelatnoeudobrenieBogatyyMikroMagniy1</x:v>
      </x:c>
    </x:row>
    <x:row r="203" ht="62" customHeight="1">
      <x:c r="A203" s="9" t="str">
        <x:v>G21</x:v>
      </x:c>
      <x:c r="B203" s="9" t="str">
        <x:v>P0231</x:v>
      </x:c>
      <x:c r="C203" s="9" t="str">
        <x:v>Био-комплекс</x:v>
      </x:c>
      <x:c r="D203" s="9" t="str">
        <x:v>Ультрамаг Хелат Меди, от скручивания листьев</x:v>
      </x:c>
      <x:c r="E203" s="9"/>
      <x:c r="F203" s="11" t="str">
        <x:v>https://bio-kompleks.ru/catalog/vsya_produktsiya/ultramag_khelat_medi_ot_skruchivaniya_listev_paket_10_g/</x:v>
      </x:c>
    </x:row>
    <x:row r="204" ht="62" customHeight="1">
      <x:c r="A204" s="9" t="str">
        <x:v>G21</x:v>
      </x:c>
      <x:c r="B204" s="9" t="str">
        <x:v>P0232</x:v>
      </x:c>
      <x:c r="C204" s="9" t="str">
        <x:v>Био-комплекс</x:v>
      </x:c>
      <x:c r="D204" s="9" t="str">
        <x:v>Ультрамаг Хелат Цинка, от пятнистости листьев</x:v>
      </x:c>
      <x:c r="E204" s="9"/>
      <x:c r="F204" s="11" t="str">
        <x:v>https://bio-kompleks.ru/catalog/vsya_produktsiya/ultramag_khelat_tsinka_ot_pyatnistosti_listev_paket_10_g/</x:v>
      </x:c>
    </x:row>
    <x:row r="205" ht="62" customHeight="1">
      <x:c r="A205" s="9" t="str">
        <x:v>G21</x:v>
      </x:c>
      <x:c r="B205" s="9" t="str">
        <x:v>P0537</x:v>
      </x:c>
      <x:c r="C205" s="9" t="str">
        <x:v>БашИнком</x:v>
      </x:c>
      <x:c r="D205" s="9" t="str">
        <x:v>Башполимик -Cu</x:v>
      </x:c>
      <x:c r="E205" s="9"/>
      <x:c r="F205" s="11" t="str">
        <x:v>https://www.bashinkom.ru/products/avz/BIOPOLIMIKCu</x:v>
      </x:c>
    </x:row>
    <x:row r="206" ht="62" customHeight="1">
      <x:c r="A206" s="9" t="str">
        <x:v>G21</x:v>
      </x:c>
      <x:c r="B206" s="9" t="str">
        <x:v>P0538</x:v>
      </x:c>
      <x:c r="C206" s="9" t="str">
        <x:v>БашИнком</x:v>
      </x:c>
      <x:c r="D206" s="9" t="str">
        <x:v>Башполимик -Cu, Zn</x:v>
      </x:c>
      <x:c r="E206" s="9"/>
      <x:c r="F206" s="11" t="str">
        <x:v>https://www.bashinkom.ru/products/avz/BiopolimikCuZn</x:v>
      </x:c>
    </x:row>
    <x:row r="207" ht="62" customHeight="1">
      <x:c r="A207" s="9" t="str">
        <x:v>G21</x:v>
      </x:c>
      <x:c r="B207" s="9" t="str">
        <x:v>P0565</x:v>
      </x:c>
      <x:c r="C207" s="9" t="str">
        <x:v>БашИнком</x:v>
      </x:c>
      <x:c r="D207" s="9" t="str">
        <x:v>Биополимик-Zn</x:v>
      </x:c>
      <x:c r="E207" s="9"/>
      <x:c r="F207" s="11" t="str">
        <x:v>https://www.bashinkom.ru/products/avz/BIOPOLIMIKZn</x:v>
      </x:c>
    </x:row>
    <x:row r="208" ht="62" customHeight="1">
      <x:c r="A208" s="9" t="str">
        <x:v>G21</x:v>
      </x:c>
      <x:c r="B208" s="9" t="str">
        <x:v>P0585</x:v>
      </x:c>
      <x:c r="C208" s="9" t="str">
        <x:v>БашИнком</x:v>
      </x:c>
      <x:c r="D208" s="9" t="str">
        <x:v>Богатый–Микро Медь (Cu) 1% + микроэлементы</x:v>
      </x:c>
      <x:c r="E208" s="9"/>
      <x:c r="F208" s="11" t="str">
        <x:v>https://www.bashinkom.ru/products/ojz/BOGATYYMIKROMedCu1mikroelementy100ml</x:v>
      </x:c>
    </x:row>
    <x:row r="209" ht="62" customHeight="1">
      <x:c r="A209" s="9" t="str">
        <x:v>G21</x:v>
      </x:c>
      <x:c r="B209" s="9" t="str">
        <x:v>P0586</x:v>
      </x:c>
      <x:c r="C209" s="9" t="str">
        <x:v>БашИнком</x:v>
      </x:c>
      <x:c r="D209" s="9" t="str">
        <x:v>Богатый–Микро Цинк (Zn) 1% – Медь (Cu) 1% + микроэлементы</x:v>
      </x:c>
      <x:c r="E209" s="9"/>
      <x:c r="F209" s="11" t="str">
        <x:v>https://www.bashinkom.ru/products/ojz/BOGATYYMIKROTSinkZn1MedCu1mikroelementy100ml</x:v>
      </x:c>
    </x:row>
    <x:row r="210" ht="62" customHeight="1">
      <x:c r="A210" s="9" t="str">
        <x:v>G21</x:v>
      </x:c>
      <x:c r="B210" s="9" t="str">
        <x:v>P0588</x:v>
      </x:c>
      <x:c r="C210" s="9" t="str">
        <x:v>БашИнком</x:v>
      </x:c>
      <x:c r="D210" s="9" t="str">
        <x:v>Борогум Экстра марка Cu-Zn</x:v>
      </x:c>
      <x:c r="E210" s="9"/>
      <x:c r="F210" s="11" t="str">
        <x:v>https://www.bashinkom.ru/products/avz/BorogumMMednoTSinkovyy</x:v>
      </x:c>
    </x:row>
    <x:row r="211" ht="62" customHeight="1">
      <x:c r="A211" s="9" t="str">
        <x:v>G22</x:v>
      </x:c>
      <x:c r="B211" s="9" t="str">
        <x:v>P0099</x:v>
      </x:c>
      <x:c r="C211" s="9" t="str">
        <x:v>Био-комплекс</x:v>
      </x:c>
      <x:c r="D211" s="9" t="str">
        <x:v>БИО-комплекс СуперКАЛЬЦИЙ, раскислитель, кальциево-магниевое удобрение</x:v>
      </x:c>
      <x:c r="E211" s="9"/>
      <x:c r="F211" s="11" t="str">
        <x:v>https://bio-kompleks.ru/catalog/vsya_produktsiya/bio_kompleks_superkaltsiy_raskislitel_kaltsievo_magnievoe_udobrenie/</x:v>
      </x:c>
    </x:row>
    <x:row r="212" ht="62" customHeight="1">
      <x:c r="A212" s="9" t="str">
        <x:v>G22</x:v>
      </x:c>
      <x:c r="B212" s="9" t="str">
        <x:v>P0693</x:v>
      </x:c>
      <x:c r="C212" s="9" t="str">
        <x:v>БашИнком</x:v>
      </x:c>
      <x:c r="D212" s="9" t="str">
        <x:v>Раскислитель ИЗВЕСТЬ–ГУМИ с бором</x:v>
      </x:c>
      <x:c r="E212" s="9"/>
      <x:c r="F212" s="11" t="str">
        <x:v>https://www.bashinkom.ru/products/ojz/RaskislitelIZVESTGUMIsborom10kg</x:v>
      </x:c>
    </x:row>
    <x:row r="213" ht="62" customHeight="1">
      <x:c r="A213" s="9" t="str">
        <x:v>G22</x:v>
      </x:c>
      <x:c r="B213" s="9" t="str">
        <x:v>P0694</x:v>
      </x:c>
      <x:c r="C213" s="9" t="str">
        <x:v>БашИнком</x:v>
      </x:c>
      <x:c r="D213" s="9" t="str">
        <x:v>Раскислитель Известь–Гуми с бором,органоминеральное удобрение</x:v>
      </x:c>
      <x:c r="E213" s="9"/>
      <x:c r="F213" s="11" t="str">
        <x:v>https://www.bashinkom.ru/products/ojz/RaskislitelIZVESTGUMIsboromorganomineralnoeudobrenie2kg</x:v>
      </x:c>
    </x:row>
    <x:row r="214" ht="62" customHeight="1">
      <x:c r="A214" s="9" t="str">
        <x:v>G23</x:v>
      </x:c>
      <x:c r="B214" s="9" t="str">
        <x:v>P0306</x:v>
      </x:c>
      <x:c r="C214" s="9" t="str">
        <x:v>Органик Микс</x:v>
      </x:c>
      <x:c r="D214" s="9" t="str">
        <x:v>Кислон для кислолюбивых растений</x:v>
      </x:c>
      <x:c r="E214" s="9"/>
      <x:c r="F214" s="11" t="str">
        <x:v>https://organic-mix.ru/catalog/kislon-dlya-kislolyubivykh-rasteniy/</x:v>
      </x:c>
    </x:row>
    <x:row r="215" ht="62" customHeight="1">
      <x:c r="A215" s="9" t="str">
        <x:v>G23</x:v>
      </x:c>
      <x:c r="B215" s="9" t="str">
        <x:v>P0695</x:v>
      </x:c>
      <x:c r="C215" s="9" t="str">
        <x:v>БашИнком</x:v>
      </x:c>
      <x:c r="D215" s="9" t="str">
        <x:v>Регулятор кислотности "Радужный"</x:v>
      </x:c>
      <x:c r="E215" s="9"/>
      <x:c r="F215" s="11" t="str">
        <x:v>https://www.bashinkom.ru/products/avz/RegulyatorkislotnostiRaduzhnyy</x:v>
      </x:c>
    </x:row>
    <x:row r="216" ht="62" customHeight="1">
      <x:c r="A216" s="9" t="str">
        <x:v>G23</x:v>
      </x:c>
      <x:c r="B216" s="9" t="str">
        <x:v>P0723</x:v>
      </x:c>
      <x:c r="C216" s="9" t="str">
        <x:v>БашИнком</x:v>
      </x:c>
      <x:c r="D216" s="9" t="str">
        <x:v>ФитоКислинка</x:v>
      </x:c>
      <x:c r="E216" s="9"/>
      <x:c r="F216" s="11" t="str">
        <x:v>https://www.bashinkom.ru/products/ojz/FitoKislinka02l</x:v>
      </x:c>
    </x:row>
    <x:row r="217" ht="62" customHeight="1">
      <x:c r="A217" s="9" t="str">
        <x:v>G24</x:v>
      </x:c>
      <x:c r="B217" s="9" t="str">
        <x:v>P0118</x:v>
      </x:c>
      <x:c r="C217" s="9" t="str">
        <x:v>Био-комплекс</x:v>
      </x:c>
      <x:c r="D217" s="9" t="str">
        <x:v>БИО-комплекс Удобрение органическое Морское ассорти, ТМ Удобряша</x:v>
      </x:c>
      <x:c r="E217" s="9"/>
      <x:c r="F217" s="11" t="str">
        <x:v>https://bio-kompleks.ru/catalog/vsya_produktsiya/bio_kompleks_udobrenie_organicheskoe_morskoe_assorti_tm_udobryasha/</x:v>
      </x:c>
    </x:row>
    <x:row r="218" ht="62" customHeight="1">
      <x:c r="A218" s="9" t="str">
        <x:v>G24</x:v>
      </x:c>
      <x:c r="B218" s="9" t="str">
        <x:v>P0337</x:v>
      </x:c>
      <x:c r="C218" s="9" t="str">
        <x:v>Органик Микс</x:v>
      </x:c>
      <x:c r="D218" s="9" t="str">
        <x:v>Морской коктейль сухой Органик Микс</x:v>
      </x:c>
      <x:c r="E218" s="9"/>
      <x:c r="F218" s="11" t="str">
        <x:v>https://organic-mix.ru/catalog/morskoy-kokteyl-sukhoy-7-kg-vedro-organik-miks/</x:v>
      </x:c>
    </x:row>
    <x:row r="219" ht="62" customHeight="1">
      <x:c r="A219" s="9" t="str">
        <x:v>G25</x:v>
      </x:c>
      <x:c r="B219" s="9" t="str">
        <x:v>P0101</x:v>
      </x:c>
      <x:c r="C219" s="9" t="str">
        <x:v>Био-комплекс</x:v>
      </x:c>
      <x:c r="D219" s="9" t="str">
        <x:v>БИО-комплекс Суспензия Хлореллы Концентрат</x:v>
      </x:c>
      <x:c r="E219" s="9"/>
      <x:c r="F219" s="11" t="str">
        <x:v>https://bio-kompleks.ru/catalog/vsya_produktsiya/bio_kompleks_suspenziya_khlorelly_kontsentrat/</x:v>
      </x:c>
    </x:row>
    <x:row r="220" ht="62" customHeight="1">
      <x:c r="A220" s="9" t="str">
        <x:v>G25</x:v>
      </x:c>
      <x:c r="B220" s="9" t="str">
        <x:v>P0129</x:v>
      </x:c>
      <x:c r="C220" s="9" t="str">
        <x:v>Био-комплекс</x:v>
      </x:c>
      <x:c r="D220" s="9" t="str">
        <x:v>БИО-комплекс Экстракт Кедра</x:v>
      </x:c>
      <x:c r="E220" s="9"/>
      <x:c r="F220" s="11" t="str">
        <x:v>https://bio-kompleks.ru/catalog/vsya_produktsiya/bio_kompleks_ekstrakt_kedra_/</x:v>
      </x:c>
    </x:row>
    <x:row r="221" ht="62" customHeight="1">
      <x:c r="A221" s="9" t="str">
        <x:v>G25</x:v>
      </x:c>
      <x:c r="B221" s="9" t="str">
        <x:v>P0130</x:v>
      </x:c>
      <x:c r="C221" s="9" t="str">
        <x:v>Био-комплекс</x:v>
      </x:c>
      <x:c r="D221" s="9" t="str">
        <x:v>БИО-комплекс Экстракт Хвои</x:v>
      </x:c>
      <x:c r="E221" s="9"/>
      <x:c r="F221" s="11" t="str">
        <x:v>https://bio-kompleks.ru/catalog/vsya_produktsiya/bio_kompleks_ekstrakt_khvoi_/</x:v>
      </x:c>
    </x:row>
    <x:row r="222" ht="62" customHeight="1">
      <x:c r="A222" s="9" t="str">
        <x:v>G25</x:v>
      </x:c>
      <x:c r="B222" s="9" t="str">
        <x:v>P0225</x:v>
      </x:c>
      <x:c r="C222" s="9" t="str">
        <x:v>Био-комплекс</x:v>
      </x:c>
      <x:c r="D222" s="9" t="str">
        <x:v>Ростобион</x:v>
      </x:c>
      <x:c r="E222" s="9"/>
      <x:c r="F222" s="11" t="str">
        <x:v>https://bio-kompleks.ru/catalog/vsya_produktsiya/bio_kompleks_rostobion/</x:v>
      </x:c>
    </x:row>
    <x:row r="223" ht="62" customHeight="1">
      <x:c r="A223" s="9" t="str">
        <x:v>G25</x:v>
      </x:c>
      <x:c r="B223" s="9" t="str">
        <x:v>P0341</x:v>
      </x:c>
      <x:c r="C223" s="9" t="str">
        <x:v>Органик Микс</x:v>
      </x:c>
      <x:c r="D223" s="9" t="str">
        <x:v>Мука из водорослей</x:v>
      </x:c>
      <x:c r="E223" s="9"/>
      <x:c r="F223" s="11" t="str">
        <x:v>https://organic-mix.ru/catalog/muka-iz-vodorosley-organik-miks-850-gr/</x:v>
      </x:c>
    </x:row>
    <x:row r="224" ht="62" customHeight="1">
      <x:c r="A224" s="9" t="str">
        <x:v>G25</x:v>
      </x:c>
      <x:c r="B224" s="9" t="str">
        <x:v>P0344</x:v>
      </x:c>
      <x:c r="C224" s="9" t="str">
        <x:v>Органик Микс</x:v>
      </x:c>
      <x:c r="D224" s="9" t="str">
        <x:v>Органический стимулятор иммунитета БиоТонус</x:v>
      </x:c>
      <x:c r="E224" s="9"/>
      <x:c r="F224" s="11" t="str">
        <x:v>https://organic-mix.ru/catalog/biotonus-banochka-50-gr-organik-miks/</x:v>
      </x:c>
    </x:row>
    <x:row r="225" ht="62" customHeight="1">
      <x:c r="A225" s="9" t="str">
        <x:v>G25</x:v>
      </x:c>
      <x:c r="B225" s="9" t="str">
        <x:v>P0424</x:v>
      </x:c>
      <x:c r="C225" s="9" t="str">
        <x:v>Органик Микс</x:v>
      </x:c>
      <x:c r="D225" s="9" t="str">
        <x:v>Энергетик для растений ФИШЭНЕРДЖИ</x:v>
      </x:c>
      <x:c r="E225" s="9"/>
      <x:c r="F225" s="11" t="str">
        <x:v>https://organic-mix.ru/catalog/fishenerdzhi-30-gr-organik-miks-/</x:v>
      </x:c>
    </x:row>
    <x:row r="226" ht="62" customHeight="1">
      <x:c r="A226" s="9" t="str">
        <x:v>G26</x:v>
      </x:c>
      <x:c r="B226" s="9" t="str">
        <x:v>P0075</x:v>
      </x:c>
      <x:c r="C226" s="9" t="str">
        <x:v>Био-комплекс</x:v>
      </x:c>
      <x:c r="D226" s="9" t="str">
        <x:v>БИО-комплекс Кровяная мука</x:v>
      </x:c>
      <x:c r="E226" s="9"/>
      <x:c r="F226" s="11" t="str">
        <x:v>https://bio-kompleks.ru/catalog/vsya_produktsiya/bio_kompleks_krovyanaya_muka/</x:v>
      </x:c>
    </x:row>
    <x:row r="227" ht="62" customHeight="1">
      <x:c r="A227" s="9" t="str">
        <x:v>G26</x:v>
      </x:c>
      <x:c r="B227" s="9" t="str">
        <x:v>P0308</x:v>
      </x:c>
      <x:c r="C227" s="9" t="str">
        <x:v>Органик Микс</x:v>
      </x:c>
      <x:c r="D227" s="9" t="str">
        <x:v>Кровяная мука</x:v>
      </x:c>
      <x:c r="E227" s="9"/>
      <x:c r="F227" s="11" t="str">
        <x:v>https://organic-mix.ru/catalog/krovyanaya-muka/</x:v>
      </x:c>
    </x:row>
    <x:row r="228" ht="62" customHeight="1">
      <x:c r="A228" s="9" t="str">
        <x:v>G26</x:v>
      </x:c>
      <x:c r="B228" s="9" t="str">
        <x:v>P0309</x:v>
      </x:c>
      <x:c r="C228" s="9" t="str">
        <x:v>Органик Микс</x:v>
      </x:c>
      <x:c r="D228" s="9" t="str">
        <x:v>Ленивый азот</x:v>
      </x:c>
      <x:c r="E228" s="9"/>
      <x:c r="F228" s="11" t="str">
        <x:v>https://organic-mix.ru/catalog/lenivyy-azot-750-gr-organik-miks/</x:v>
      </x:c>
    </x:row>
    <x:row r="229" ht="62" customHeight="1">
      <x:c r="A229" s="9" t="str">
        <x:v>G26</x:v>
      </x:c>
      <x:c r="B229" s="9" t="str">
        <x:v>P0358</x:v>
      </x:c>
      <x:c r="C229" s="9" t="str">
        <x:v>Органик Микс</x:v>
      </x:c>
      <x:c r="D229" s="9" t="str">
        <x:v>Рогокопытный шрот</x:v>
      </x:c>
      <x:c r="E229" s="9"/>
      <x:c r="F229" s="11" t="str">
        <x:v>https://organic-mix.ru/catalog/rogokopytnyy-shrot/</x:v>
      </x:c>
    </x:row>
    <x:row r="230" ht="62" customHeight="1">
      <x:c r="A230" s="9" t="str">
        <x:v>G26</x:v>
      </x:c>
      <x:c r="B230" s="9" t="str">
        <x:v>P0463</x:v>
      </x:c>
      <x:c r="C230" s="9" t="str">
        <x:v>Органик Микс</x:v>
      </x:c>
      <x:c r="D230" s="9" t="str">
        <x:v>Кукарука Органик Микс</x:v>
      </x:c>
      <x:c r="E230" s="9"/>
      <x:c r="F230" s="11" t="str">
        <x:v>https://organic-mix.ru/catalog/kukaruka-organik-miks-7-kg-vedro/</x:v>
      </x:c>
    </x:row>
    <x:row r="231" ht="62" customHeight="1">
      <x:c r="A231" s="9" t="str">
        <x:v>G26</x:v>
      </x:c>
      <x:c r="B231" s="9" t="str">
        <x:v>P0547</x:v>
      </x:c>
      <x:c r="C231" s="9" t="str">
        <x:v>БашИнком</x:v>
      </x:c>
      <x:c r="D231" s="9" t="str">
        <x:v>Бионекс-Кеми 2:40:27+1,2</x:v>
      </x:c>
      <x:c r="E231" s="9"/>
      <x:c r="F231" s="11" t="str">
        <x:v>https://www.bashinkom.ru/products/avz/BioneksKemiRastvorimyy2402712</x:v>
      </x:c>
    </x:row>
    <x:row r="232" ht="62" customHeight="1">
      <x:c r="A232" s="9" t="str">
        <x:v>G26</x:v>
      </x:c>
      <x:c r="B232" s="9" t="str">
        <x:v>P0556</x:v>
      </x:c>
      <x:c r="C232" s="9" t="str">
        <x:v>БашИнком</x:v>
      </x:c>
      <x:c r="D232" s="9" t="str">
        <x:v>Бионекс-Кеми Жидкий NPK 21:4:4+МЭ</x:v>
      </x:c>
      <x:c r="E232" s="9"/>
      <x:c r="F232" s="11" t="str">
        <x:v>https://www.bashinkom.ru/products/avz/BioneksKemiZHidkiy2144ME</x:v>
      </x:c>
    </x:row>
    <x:row r="233" ht="62" customHeight="1">
      <x:c r="A233" s="9" t="str">
        <x:v>G26</x:v>
      </x:c>
      <x:c r="B233" s="9" t="str">
        <x:v>P0557</x:v>
      </x:c>
      <x:c r="C233" s="9" t="str">
        <x:v>БашИнком</x:v>
      </x:c>
      <x:c r="D233" s="9" t="str">
        <x:v>Бионекс-Кеми Профи NPK + Mg 40:1,5:2+0,7+2</x:v>
      </x:c>
      <x:c r="E233" s="9"/>
      <x:c r="F233" s="11" t="str">
        <x:v>https://www.bashinkom.ru/products/avz/BioneksKemiRastvorimyy4015207</x:v>
      </x:c>
    </x:row>
    <x:row r="234" ht="62" customHeight="1">
      <x:c r="A234" s="9" t="str">
        <x:v>G26</x:v>
      </x:c>
      <x:c r="B234" s="9" t="str">
        <x:v>P0558</x:v>
      </x:c>
      <x:c r="C234" s="9" t="str">
        <x:v>БашИнком</x:v>
      </x:c>
      <x:c r="D234" s="9" t="str">
        <x:v>Бионекс-Кеми Профи NPK+Mg+S 35:1:1,5+0,7+6</x:v>
      </x:c>
      <x:c r="E234" s="9"/>
      <x:c r="F234" s="11" t="str">
        <x:v>https://www.bashinkom.ru/products/avz/BioneksKemiRastvorimyy35115076</x:v>
      </x:c>
    </x:row>
    <x:row r="235" ht="62" customHeight="1">
      <x:c r="A235" s="9" t="str">
        <x:v>G26</x:v>
      </x:c>
      <x:c r="B235" s="9" t="str">
        <x:v>P0607</x:v>
      </x:c>
      <x:c r="C235" s="9" t="str">
        <x:v>БашИнком</x:v>
      </x:c>
      <x:c r="D235" s="9" t="str">
        <x:v>Гуми–Оми Азот</x:v>
      </x:c>
      <x:c r="E235" s="9"/>
      <x:c r="F235" s="11" t="str">
        <x:v>https://www.bashinkom.ru/products/ojz/AZOTMOCHEVINAGUMIOMI05kg</x:v>
      </x:c>
    </x:row>
    <x:row r="236" ht="62" customHeight="1">
      <x:c r="A236" s="9" t="str">
        <x:v>G27</x:v>
      </x:c>
      <x:c r="B236" s="9" t="str">
        <x:v>P0074</x:v>
      </x:c>
      <x:c r="C236" s="9" t="str">
        <x:v>Био-комплекс</x:v>
      </x:c>
      <x:c r="D236" s="9" t="str">
        <x:v>БИО-комплекс Костная мука</x:v>
      </x:c>
      <x:c r="E236" s="9"/>
      <x:c r="F236" s="11" t="str">
        <x:v>https://bio-kompleks.ru/catalog/vsya_produktsiya/bio_kompleks_kostnaya_muka/</x:v>
      </x:c>
    </x:row>
    <x:row r="237" ht="62" customHeight="1">
      <x:c r="A237" s="9" t="str">
        <x:v>G27</x:v>
      </x:c>
      <x:c r="B237" s="9" t="str">
        <x:v>P0122</x:v>
      </x:c>
      <x:c r="C237" s="9" t="str">
        <x:v>Био-комплекс</x:v>
      </x:c>
      <x:c r="D237" s="9" t="str">
        <x:v>БИО-комплекс Фосфоритная мука</x:v>
      </x:c>
      <x:c r="E237" s="9"/>
      <x:c r="F237" s="11" t="str">
        <x:v>https://bio-kompleks.ru/catalog/vsya_produktsiya/bio_kompleks_fosforitnaya_muka/</x:v>
      </x:c>
    </x:row>
    <x:row r="238" ht="62" customHeight="1">
      <x:c r="A238" s="9" t="str">
        <x:v>G27</x:v>
      </x:c>
      <x:c r="B238" s="9" t="str">
        <x:v>P0307</x:v>
      </x:c>
      <x:c r="C238" s="9" t="str">
        <x:v>Органик Микс</x:v>
      </x:c>
      <x:c r="D238" s="9" t="str">
        <x:v>Костная мука</x:v>
      </x:c>
      <x:c r="E238" s="9"/>
      <x:c r="F238" s="11" t="str">
        <x:v>https://organic-mix.ru/catalog/kostnaya-muka-organik-miks-2-8-kg/</x:v>
      </x:c>
    </x:row>
    <x:row r="239" ht="62" customHeight="1">
      <x:c r="A239" s="9" t="str">
        <x:v>G27</x:v>
      </x:c>
      <x:c r="B239" s="9" t="str">
        <x:v>P0547</x:v>
      </x:c>
      <x:c r="C239" s="9" t="str">
        <x:v>БашИнком</x:v>
      </x:c>
      <x:c r="D239" s="9" t="str">
        <x:v>Бионекс-Кеми 2:40:27+1,2</x:v>
      </x:c>
      <x:c r="E239" s="9"/>
      <x:c r="F239" s="11" t="str">
        <x:v>https://www.bashinkom.ru/products/avz/BioneksKemiRastvorimyy2402712</x:v>
      </x:c>
    </x:row>
    <x:row r="240" ht="62" customHeight="1">
      <x:c r="A240" s="9" t="str">
        <x:v>G27</x:v>
      </x:c>
      <x:c r="B240" s="9" t="str">
        <x:v>P0554</x:v>
      </x:c>
      <x:c r="C240" s="9" t="str">
        <x:v>БашИнком</x:v>
      </x:c>
      <x:c r="D240" s="9" t="str">
        <x:v>Бионекс-Кеми Жидкий NPK 10:30:0+ МЭ</x:v>
      </x:c>
      <x:c r="E240" s="9"/>
      <x:c r="F240" s="11" t="str">
        <x:v>https://www.bashinkom.ru/products/avz/BioneksKemiZHidkiy10300ME</x:v>
      </x:c>
    </x:row>
    <x:row r="241" ht="62" customHeight="1">
      <x:c r="A241" s="9" t="str">
        <x:v>G27</x:v>
      </x:c>
      <x:c r="B241" s="9" t="str">
        <x:v>P0630</x:v>
      </x:c>
      <x:c r="C241" s="9" t="str">
        <x:v>БашИнком</x:v>
      </x:c>
      <x:c r="D241" s="9" t="str">
        <x:v>Гуми-Оми Фосфор</x:v>
      </x:c>
      <x:c r="E241" s="9"/>
      <x:c r="F241" s="11" t="str">
        <x:v>https://www.bashinkom.ru/products/ojz/FOSFORSUPERFOSFATGUMIOMI05kg</x:v>
      </x:c>
    </x:row>
    <x:row r="242" ht="62" customHeight="1">
      <x:c r="A242" s="9" t="str">
        <x:v>G28</x:v>
      </x:c>
      <x:c r="B242" s="9" t="str">
        <x:v>P0073</x:v>
      </x:c>
      <x:c r="C242" s="9" t="str">
        <x:v>Био-комплекс</x:v>
      </x:c>
      <x:c r="D242" s="9" t="str">
        <x:v>БИО-комплекс Зола подсолнечника</x:v>
      </x:c>
      <x:c r="E242" s="9"/>
      <x:c r="F242" s="11" t="str">
        <x:v>https://bio-kompleks.ru/catalog/vsya_produktsiya/bio_kompleks_zola_podsolnechnika/</x:v>
      </x:c>
    </x:row>
    <x:row r="243" ht="62" customHeight="1">
      <x:c r="A243" s="9" t="str">
        <x:v>G28</x:v>
      </x:c>
      <x:c r="B243" s="9" t="str">
        <x:v>P0612</x:v>
      </x:c>
      <x:c r="C243" s="9" t="str">
        <x:v>БашИнком</x:v>
      </x:c>
      <x:c r="D243" s="9" t="str">
        <x:v>Гуми–Оми Калий</x:v>
      </x:c>
      <x:c r="E243" s="9"/>
      <x:c r="F243" s="11" t="str">
        <x:v>https://www.bashinkom.ru/products/ojz/KALIYSULFATKALIYAGUMIOMI05kg</x:v>
      </x:c>
    </x:row>
    <x:row r="244" ht="62" customHeight="1">
      <x:c r="A244" s="9" t="str">
        <x:v>G29</x:v>
      </x:c>
      <x:c r="B244" s="9" t="str">
        <x:v>P0354</x:v>
      </x:c>
      <x:c r="C244" s="9" t="str">
        <x:v>Органик Микс</x:v>
      </x:c>
      <x:c r="D244" s="9" t="str">
        <x:v>ПРИЛИПАЙКА - органический прилипатель-растекатель</x:v>
      </x:c>
      <x:c r="E244" s="9"/>
      <x:c r="F244" s="11" t="str">
        <x:v>https://organic-mix.ru/catalog/prilipayka-organicheskiy-prilipatel-100-ml/</x:v>
      </x:c>
    </x:row>
    <x:row r="245" ht="62" customHeight="1">
      <x:c r="A245" s="9" t="str">
        <x:v>G29</x:v>
      </x:c>
      <x:c r="B245" s="9" t="str">
        <x:v>P0355</x:v>
      </x:c>
      <x:c r="C245" s="9" t="str">
        <x:v>Органик Микс</x:v>
      </x:c>
      <x:c r="D245" s="9" t="str">
        <x:v>ПРИЛИПАЙКА в ампуле - органический биоприлипатель-растекатель</x:v>
      </x:c>
      <x:c r="E245" s="9"/>
      <x:c r="F245" s="11" t="str">
        <x:v>https://organic-mix.ru/catalog/prilipayka-v-ampule-organicheskiy-bioprilipatel-rastekatel-1-ml/</x:v>
      </x:c>
    </x:row>
    <x:row r="246" ht="62" customHeight="1">
      <x:c r="A246" s="9" t="str">
        <x:v>G29</x:v>
      </x:c>
      <x:c r="B246" s="9" t="str">
        <x:v>P0544</x:v>
      </x:c>
      <x:c r="C246" s="9" t="str">
        <x:v>БашИнком</x:v>
      </x:c>
      <x:c r="D246" s="9" t="str">
        <x:v>Биолипостим</x:v>
      </x:c>
      <x:c r="E246" s="9"/>
      <x:c r="F246" s="11" t="str">
        <x:v>https://www.bashinkom.ru/products/avz/Biolipostim</x:v>
      </x:c>
    </x:row>
    <x:row r="247" ht="62" customHeight="1">
      <x:c r="A247" s="9" t="str">
        <x:v>G29</x:v>
      </x:c>
      <x:c r="B247" s="9" t="str">
        <x:v>P0567</x:v>
      </x:c>
      <x:c r="C247" s="9" t="str">
        <x:v>БашИнком</x:v>
      </x:c>
      <x:c r="D247" s="9" t="str">
        <x:v>Биоприлипатель Биолипостим</x:v>
      </x:c>
      <x:c r="E247" s="9"/>
      <x:c r="F247" s="11" t="str">
        <x:v>https://www.bashinkom.ru/products/ojz/BioprilipatelBiolipostim</x:v>
      </x:c>
    </x:row>
    <x:row r="248" ht="62" customHeight="1">
      <x:c r="A248" s="9" t="str">
        <x:v>G29</x:v>
      </x:c>
      <x:c r="B248" s="9" t="str">
        <x:v>P0568</x:v>
      </x:c>
      <x:c r="C248" s="9" t="str">
        <x:v>БашИнком</x:v>
      </x:c>
      <x:c r="D248" s="9" t="str">
        <x:v>БиоПрилипатель Биолипостим</x:v>
      </x:c>
      <x:c r="E248" s="9"/>
      <x:c r="F248" s="11" t="str">
        <x:v>https://www.bashinkom.ru/products/prodecor/BioPrilipatelBiolipostim-prodecor</x:v>
      </x:c>
    </x:row>
    <x:row r="249" ht="62" customHeight="1">
      <x:c r="A249" s="9" t="str">
        <x:v>G29</x:v>
      </x:c>
      <x:c r="B249" s="9" t="str">
        <x:v>P0665</x:v>
      </x:c>
      <x:c r="C249" s="9" t="str">
        <x:v>БашИнком</x:v>
      </x:c>
      <x:c r="D249" s="9" t="str">
        <x:v>КрасАдъюв</x:v>
      </x:c>
      <x:c r="E249" s="9"/>
      <x:c r="F249" s="11" t="str">
        <x:v>https://www.bashinkom.ru/products/avz/KrasAdyuv</x:v>
      </x:c>
    </x:row>
    <x:row r="250" ht="62" customHeight="1">
      <x:c r="A250" s="9" t="str">
        <x:v>G30</x:v>
      </x:c>
      <x:c r="B250" s="9" t="str">
        <x:v>P0070</x:v>
      </x:c>
      <x:c r="C250" s="9" t="str">
        <x:v>Био-комплекс</x:v>
      </x:c>
      <x:c r="D250" s="9" t="str">
        <x:v>БИО-комплекс Донор, удобрение со свойствами фунгицида</x:v>
      </x:c>
      <x:c r="E250" s="9"/>
      <x:c r="F250" s="11" t="str">
        <x:v>https://bio-kompleks.ru/catalog/vsya_produktsiya/bio_kompleks_donor_udobrenie_so_svoystvami_fungitsida/</x:v>
      </x:c>
    </x:row>
    <x:row r="251" ht="62" customHeight="1">
      <x:c r="A251" s="9" t="str">
        <x:v>G30</x:v>
      </x:c>
      <x:c r="B251" s="9" t="str">
        <x:v>P0095</x:v>
      </x:c>
      <x:c r="C251" s="9" t="str">
        <x:v>Био-комплекс</x:v>
      </x:c>
      <x:c r="D251" s="9" t="str">
        <x:v>БИО-комплекс Серебромедин</x:v>
      </x:c>
      <x:c r="E251" s="9"/>
      <x:c r="F251" s="11" t="str">
        <x:v>https://bio-kompleks.ru/catalog/vsya_produktsiya/bio_kompleks_serebromedin_/</x:v>
      </x:c>
    </x:row>
    <x:row r="252" ht="62" customHeight="1">
      <x:c r="A252" s="9" t="str">
        <x:v>G30</x:v>
      </x:c>
      <x:c r="B252" s="9" t="str">
        <x:v>P0197</x:v>
      </x:c>
      <x:c r="C252" s="9" t="str">
        <x:v>Био-комплекс</x:v>
      </x:c>
      <x:c r="D252" s="9" t="str">
        <x:v>Индиго, КС от болезней плодовых и винограда, профилакт</x:v>
      </x:c>
      <x:c r="E252" s="9"/>
      <x:c r="F252" s="11" t="str">
        <x:v>https://bio-kompleks.ru/catalog/vsya_produktsiya/indigo_ks_ot_bolezney_plodovykh_i_vinograda_profilakt/</x:v>
      </x:c>
    </x:row>
    <x:row r="253" ht="62" customHeight="1">
      <x:c r="A253" s="9" t="str">
        <x:v>G30</x:v>
      </x:c>
      <x:c r="B253" s="9" t="str">
        <x:v>P0200</x:v>
      </x:c>
      <x:c r="C253" s="9" t="str">
        <x:v>Био-комплекс</x:v>
      </x:c>
      <x:c r="D253" s="9" t="str">
        <x:v>Медея, МЭ от болезней садов и виноградников</x:v>
      </x:c>
      <x:c r="E253" s="9"/>
      <x:c r="F253" s="11" t="str">
        <x:v>https://bio-kompleks.ru/catalog/vsya_produktsiya/medeya_me_ot_bolezney_sadov_i_vinogradnikov/</x:v>
      </x:c>
    </x:row>
    <x:row r="254" ht="62" customHeight="1">
      <x:c r="A254" s="9" t="str">
        <x:v>G30</x:v>
      </x:c>
      <x:c r="B254" s="9" t="str">
        <x:v>P0236</x:v>
      </x:c>
      <x:c r="C254" s="9" t="str">
        <x:v>Био-комплекс</x:v>
      </x:c>
      <x:c r="D254" s="9" t="str">
        <x:v>Ширма, КС от болезней картофеля, яблони и винограда</x:v>
      </x:c>
      <x:c r="E254" s="9"/>
      <x:c r="F254" s="11" t="str">
        <x:v>https://bio-kompleks.ru/catalog/vsya_produktsiya/shirma_ks_ot_bolezney_kartofelya_yabloni_i_vinograda/</x:v>
      </x:c>
    </x:row>
    <x:row r="255" ht="62" customHeight="1">
      <x:c r="A255" s="9" t="str">
        <x:v>G30</x:v>
      </x:c>
      <x:c r="B255" s="9" t="str">
        <x:v>P0290</x:v>
      </x:c>
      <x:c r="C255" s="9" t="str">
        <x:v>Органик Микс</x:v>
      </x:c>
      <x:c r="D255" s="9" t="str">
        <x:v>БИОЗАЩИТИН в ампуле - органическое средство защиты растений 3 в 1</x:v>
      </x:c>
      <x:c r="E255" s="9"/>
      <x:c r="F255" s="11" t="str">
        <x:v>https://organic-mix.ru/catalog/biozashchitin-v-ampule-organicheskoe-sredstvo-zashchity-rasteniy-3-v-1-5-ml/</x:v>
      </x:c>
    </x:row>
    <x:row r="256" ht="62" customHeight="1">
      <x:c r="A256" s="9" t="str">
        <x:v>G30</x:v>
      </x:c>
      <x:c r="B256" s="9" t="str">
        <x:v>P0342</x:v>
      </x:c>
      <x:c r="C256" s="9" t="str">
        <x:v>Органик Микс</x:v>
      </x:c>
      <x:c r="D256" s="9" t="str">
        <x:v>МУЧНИСТОП (СПРЕЙ) - от Мучнистой росы Органик Микс</x:v>
      </x:c>
      <x:c r="E256" s="9"/>
      <x:c r="F256" s="11" t="str">
        <x:v>https://organic-mix.ru/catalog/muchnistop-sprey-ot-muchnistoy-rosy-1-l-organik-miks/</x:v>
      </x:c>
    </x:row>
    <x:row r="257" ht="62" customHeight="1">
      <x:c r="A257" s="9" t="str">
        <x:v>G30</x:v>
      </x:c>
      <x:c r="B257" s="9" t="str">
        <x:v>P0533</x:v>
      </x:c>
      <x:c r="C257" s="9" t="str">
        <x:v>БашИнком</x:v>
      </x:c>
      <x:c r="D257" s="9" t="str">
        <x:v>АнтиГниль Порошок Фитоспорин–М,П</x:v>
      </x:c>
      <x:c r="E257" s="9"/>
      <x:c r="F257" s="11" t="str">
        <x:v>https://www.bashinkom.ru/products/ojz/AntiGnilPoroshokFitosporinMP</x:v>
      </x:c>
    </x:row>
    <x:row r="258" ht="62" customHeight="1">
      <x:c r="A258" s="9" t="str">
        <x:v>G30</x:v>
      </x:c>
      <x:c r="B258" s="9" t="str">
        <x:v>P0534</x:v>
      </x:c>
      <x:c r="C258" s="9" t="str">
        <x:v>БашИнком</x:v>
      </x:c>
      <x:c r="D258" s="9" t="str">
        <x:v>АнтиГниль Фитоспорин–М, Хранение</x:v>
      </x:c>
      <x:c r="E258" s="9"/>
      <x:c r="F258" s="11" t="str">
        <x:v>https://www.bashinkom.ru/products/ojz/AntiGnilPoroshokFitosporinMP30g</x:v>
      </x:c>
    </x:row>
    <x:row r="259" ht="62" customHeight="1">
      <x:c r="A259" s="9" t="str">
        <x:v>G30</x:v>
      </x:c>
      <x:c r="B259" s="9" t="str">
        <x:v>P0569</x:v>
      </x:c>
      <x:c r="C259" s="9" t="str">
        <x:v>БашИнком</x:v>
      </x:c>
      <x:c r="D259" s="9" t="str">
        <x:v>Биофунгицид Фитоспорин-АС (паста)</x:v>
      </x:c>
      <x:c r="E259" s="9"/>
      <x:c r="F259" s="11" t="str">
        <x:v>https://www.bashinkom.ru/products/ojz/BiofungitsidFitosporinASpasta50g</x:v>
      </x:c>
    </x:row>
    <x:row r="260" ht="62" customHeight="1">
      <x:c r="A260" s="9" t="str">
        <x:v>G30</x:v>
      </x:c>
      <x:c r="B260" s="9" t="str">
        <x:v>P0715</x:v>
      </x:c>
      <x:c r="C260" s="9" t="str">
        <x:v>БашИнком</x:v>
      </x:c>
      <x:c r="D260" s="9" t="str">
        <x:v>Триходермикс</x:v>
      </x:c>
      <x:c r="E260" s="9"/>
      <x:c r="F260" s="11" t="str">
        <x:v>https://www.bashinkom.ru/products/ojz/Trikhodermiks-mini</x:v>
      </x:c>
    </x:row>
    <x:row r="261" ht="62" customHeight="1">
      <x:c r="A261" s="9" t="str">
        <x:v>G30</x:v>
      </x:c>
      <x:c r="B261" s="9" t="str">
        <x:v>P0716</x:v>
      </x:c>
      <x:c r="C261" s="9" t="str">
        <x:v>БашИнком</x:v>
      </x:c>
      <x:c r="D261" s="9" t="str">
        <x:v>Триходермикс</x:v>
      </x:c>
      <x:c r="E261" s="9"/>
      <x:c r="F261" s="11" t="str">
        <x:v>https://www.bashinkom.ru/products/avz/Trikhodermiks</x:v>
      </x:c>
    </x:row>
    <x:row r="262" ht="62" customHeight="1">
      <x:c r="A262" s="9" t="str">
        <x:v>G30</x:v>
      </x:c>
      <x:c r="B262" s="9" t="str">
        <x:v>P0717</x:v>
      </x:c>
      <x:c r="C262" s="9" t="str">
        <x:v>БашИнком</x:v>
      </x:c>
      <x:c r="D262" s="9" t="str">
        <x:v>Триходермикс</x:v>
      </x:c>
      <x:c r="E262" s="9"/>
      <x:c r="F262" s="11" t="str">
        <x:v>https://www.bashinkom.ru/products/prodecor/Trikhodermiks-prodecor</x:v>
      </x:c>
    </x:row>
    <x:row r="263" ht="62" customHeight="1">
      <x:c r="A263" s="9" t="str">
        <x:v>G30</x:v>
      </x:c>
      <x:c r="B263" s="9" t="str">
        <x:v>P0722</x:v>
      </x:c>
      <x:c r="C263" s="9" t="str">
        <x:v>БашИнком</x:v>
      </x:c>
      <x:c r="D263" s="9" t="str">
        <x:v>Фистопорин–М Томаты быстрорастворимый</x:v>
      </x:c>
      <x:c r="E263" s="9"/>
      <x:c r="F263" s="11" t="str">
        <x:v>https://www.bashinkom.ru/products/ojz/FistoporinMTomatybystrorastvorimyy100g</x:v>
      </x:c>
    </x:row>
    <x:row r="264" ht="62" customHeight="1">
      <x:c r="A264" s="9" t="str">
        <x:v>G30</x:v>
      </x:c>
      <x:c r="B264" s="9" t="str">
        <x:v>P0726</x:v>
      </x:c>
      <x:c r="C264" s="9" t="str">
        <x:v>БашИнком</x:v>
      </x:c>
      <x:c r="D264" s="9" t="str">
        <x:v>Фитоспорин ПроБио</x:v>
      </x:c>
      <x:c r="E264" s="9"/>
      <x:c r="F264" s="11" t="str">
        <x:v>https://www.bashinkom.ru/products/ojz/FitosporinProBio05l</x:v>
      </x:c>
    </x:row>
    <x:row r="265" ht="62" customHeight="1">
      <x:c r="A265" s="9" t="str">
        <x:v>G30</x:v>
      </x:c>
      <x:c r="B265" s="9" t="str">
        <x:v>P0727</x:v>
      </x:c>
      <x:c r="C265" s="9" t="str">
        <x:v>БашИнком</x:v>
      </x:c>
      <x:c r="D265" s="9" t="str">
        <x:v>Фитоспорин ПроБио</x:v>
      </x:c>
      <x:c r="E265" s="9"/>
      <x:c r="F265" s="11" t="str">
        <x:v>https://www.bashinkom.ru/products/ojz/FitosporinProBio01l</x:v>
      </x:c>
    </x:row>
    <x:row r="266" ht="62" customHeight="1">
      <x:c r="A266" s="9" t="str">
        <x:v>G30</x:v>
      </x:c>
      <x:c r="B266" s="9" t="str">
        <x:v>P0728</x:v>
      </x:c>
      <x:c r="C266" s="9" t="str">
        <x:v>БашИнком</x:v>
      </x:c>
      <x:c r="D266" s="9" t="str">
        <x:v>Фитоспорин- М,Ж</x:v>
      </x:c>
      <x:c r="E266" s="9"/>
      <x:c r="F266" s="11" t="str">
        <x:v>https://www.bashinkom.ru/products/avz/FitosporinMZH</x:v>
      </x:c>
    </x:row>
    <x:row r="267" ht="62" customHeight="1">
      <x:c r="A267" s="9" t="str">
        <x:v>G30</x:v>
      </x:c>
      <x:c r="B267" s="9" t="str">
        <x:v>P0729</x:v>
      </x:c>
      <x:c r="C267" s="9" t="str">
        <x:v>БашИнком</x:v>
      </x:c>
      <x:c r="D267" s="9" t="str">
        <x:v>Фитоспорин–M Огурцы</x:v>
      </x:c>
      <x:c r="E267" s="9"/>
      <x:c r="F267" s="11" t="str">
        <x:v>https://www.bashinkom.ru/products/ojz/FitosporinMOGURTSY10g</x:v>
      </x:c>
    </x:row>
    <x:row r="268" ht="62" customHeight="1">
      <x:c r="A268" s="9" t="str">
        <x:v>G30</x:v>
      </x:c>
      <x:c r="B268" s="9" t="str">
        <x:v>P0730</x:v>
      </x:c>
      <x:c r="C268" s="9" t="str">
        <x:v>БашИнком</x:v>
      </x:c>
      <x:c r="D268" s="9" t="str">
        <x:v>Фитоспорин-АС</x:v>
      </x:c>
      <x:c r="E268" s="9"/>
      <x:c r="F268" s="11" t="str">
        <x:v>https://www.bashinkom.ru/products/ojz/FitosporinAS05l</x:v>
      </x:c>
    </x:row>
    <x:row r="269" ht="62" customHeight="1">
      <x:c r="A269" s="9" t="str">
        <x:v>G30</x:v>
      </x:c>
      <x:c r="B269" s="9" t="str">
        <x:v>P0731</x:v>
      </x:c>
      <x:c r="C269" s="9" t="str">
        <x:v>БашИнком</x:v>
      </x:c>
      <x:c r="D269" s="9" t="str">
        <x:v>Фитоспорин–АС, Ж</x:v>
      </x:c>
      <x:c r="E269" s="9"/>
      <x:c r="F269" s="11" t="str">
        <x:v>https://www.bashinkom.ru/products/avz/FitosporinMZHASaminokisloty</x:v>
      </x:c>
    </x:row>
    <x:row r="270" ht="62" customHeight="1">
      <x:c r="A270" s="9" t="str">
        <x:v>G30</x:v>
      </x:c>
      <x:c r="B270" s="9" t="str">
        <x:v>P0732</x:v>
      </x:c>
      <x:c r="C270" s="9" t="str">
        <x:v>БашИнком</x:v>
      </x:c>
      <x:c r="D270" s="9" t="str">
        <x:v>Фитоспорин-М (АС) Декор</x:v>
      </x:c>
      <x:c r="E270" s="9"/>
      <x:c r="F270" s="11" t="str">
        <x:v>https://www.bashinkom.ru/products/prodecor/FitosporinMAS</x:v>
      </x:c>
    </x:row>
    <x:row r="271" ht="62" customHeight="1">
      <x:c r="A271" s="9" t="str">
        <x:v>G30</x:v>
      </x:c>
      <x:c r="B271" s="9" t="str">
        <x:v>P0733</x:v>
      </x:c>
      <x:c r="C271" s="9" t="str">
        <x:v>БашИнком</x:v>
      </x:c>
      <x:c r="D271" s="9" t="str">
        <x:v>Фитоспорин–М Золотая Осень</x:v>
      </x:c>
      <x:c r="E271" s="9"/>
      <x:c r="F271" s="11" t="str">
        <x:v>https://www.bashinkom.ru/products/ojz/FitosporinMZOLOTAYAOSEN02l</x:v>
      </x:c>
    </x:row>
    <x:row r="272" ht="62" customHeight="1">
      <x:c r="A272" s="9" t="str">
        <x:v>G30</x:v>
      </x:c>
      <x:c r="B272" s="9" t="str">
        <x:v>P0734</x:v>
      </x:c>
      <x:c r="C272" s="9" t="str">
        <x:v>БашИнком</x:v>
      </x:c>
      <x:c r="D272" s="9" t="str">
        <x:v>Фитоспорин–М Капуста</x:v>
      </x:c>
      <x:c r="E272" s="9"/>
      <x:c r="F272" s="11" t="str">
        <x:v>https://www.bashinkom.ru/products/ojz/FitosporinMKAPUSTA10g</x:v>
      </x:c>
    </x:row>
    <x:row r="273" ht="62" customHeight="1">
      <x:c r="A273" s="9" t="str">
        <x:v>G30</x:v>
      </x:c>
      <x:c r="B273" s="9" t="str">
        <x:v>P0735</x:v>
      </x:c>
      <x:c r="C273" s="9" t="str">
        <x:v>БашИнком</x:v>
      </x:c>
      <x:c r="D273" s="9" t="str">
        <x:v>Фитоспорин–М Картофель</x:v>
      </x:c>
      <x:c r="E273" s="9"/>
      <x:c r="F273" s="11" t="str">
        <x:v>https://www.bashinkom.ru/products/ojz/FitosporinMKARTOFEL30g</x:v>
      </x:c>
    </x:row>
    <x:row r="274" ht="62" customHeight="1">
      <x:c r="A274" s="9" t="str">
        <x:v>G30</x:v>
      </x:c>
      <x:c r="B274" s="9" t="str">
        <x:v>P0736</x:v>
      </x:c>
      <x:c r="C274" s="9" t="str">
        <x:v>БашИнком</x:v>
      </x:c>
      <x:c r="D274" s="9" t="str">
        <x:v>Фитоспорин-М Картофель Быстрорастворимый</x:v>
      </x:c>
      <x:c r="E274" s="9"/>
      <x:c r="F274" s="11" t="str">
        <x:v>https://www.bashinkom.ru/products/ojz/FitosporinMKARTOFELBYSTRORASTVORIMYY100g</x:v>
      </x:c>
    </x:row>
    <x:row r="275" ht="62" customHeight="1">
      <x:c r="A275" s="9" t="str">
        <x:v>G30</x:v>
      </x:c>
      <x:c r="B275" s="9" t="str">
        <x:v>P0737</x:v>
      </x:c>
      <x:c r="C275" s="9" t="str">
        <x:v>БашИнком</x:v>
      </x:c>
      <x:c r="D275" s="9" t="str">
        <x:v>Фитоспорин–М Рассада, овощи, ягоды, плодовые</x:v>
      </x:c>
      <x:c r="E275" s="9"/>
      <x:c r="F275" s="11" t="str">
        <x:v>https://www.bashinkom.ru/products/ojz/FitosporinMRASSADAOVOSHCHIYAGODYPLODOVYE110ml</x:v>
      </x:c>
    </x:row>
    <x:row r="276" ht="62" customHeight="1">
      <x:c r="A276" s="9" t="str">
        <x:v>G30</x:v>
      </x:c>
      <x:c r="B276" s="9" t="str">
        <x:v>P0738</x:v>
      </x:c>
      <x:c r="C276" s="9" t="str">
        <x:v>БашИнком</x:v>
      </x:c>
      <x:c r="D276" s="9" t="str">
        <x:v>Фитоспорин–М РеаниматоР</x:v>
      </x:c>
      <x:c r="E276" s="9"/>
      <x:c r="F276" s="11" t="str">
        <x:v>https://www.bashinkom.ru/products/ojz/FitosporinMReanimatoR02l</x:v>
      </x:c>
    </x:row>
    <x:row r="277" ht="62" customHeight="1">
      <x:c r="A277" s="9" t="str">
        <x:v>G30</x:v>
      </x:c>
      <x:c r="B277" s="9" t="str">
        <x:v>P0739</x:v>
      </x:c>
      <x:c r="C277" s="9" t="str">
        <x:v>БашИнком</x:v>
      </x:c>
      <x:c r="D277" s="9" t="str">
        <x:v>Фитоспорин–М Садовые Цветы</x:v>
      </x:c>
      <x:c r="E277" s="9"/>
      <x:c r="F277" s="11" t="str">
        <x:v>https://www.bashinkom.ru/products/ojz/FitosporinMSADOVYETSVETY30g</x:v>
      </x:c>
    </x:row>
    <x:row r="278" ht="62" customHeight="1">
      <x:c r="A278" s="9" t="str">
        <x:v>G30</x:v>
      </x:c>
      <x:c r="B278" s="9" t="str">
        <x:v>P0740</x:v>
      </x:c>
      <x:c r="C278" s="9" t="str">
        <x:v>БашИнком</x:v>
      </x:c>
      <x:c r="D278" s="9" t="str">
        <x:v>Фитоспорин–М Супер–Универсал Быстрорастворимый</x:v>
      </x:c>
      <x:c r="E278" s="9"/>
      <x:c r="F278" s="11" t="str">
        <x:v>https://www.bashinkom.ru/products/ojz/FitosporinMSUPERUNIVERSALBYSTRORASTVORIMYY100g</x:v>
      </x:c>
    </x:row>
    <x:row r="279" ht="62" customHeight="1">
      <x:c r="A279" s="9" t="str">
        <x:v>G30</x:v>
      </x:c>
      <x:c r="B279" s="9" t="str">
        <x:v>P0741</x:v>
      </x:c>
      <x:c r="C279" s="9" t="str">
        <x:v>БашИнком</x:v>
      </x:c>
      <x:c r="D279" s="9" t="str">
        <x:v>Фитоспорин–М Томат</x:v>
      </x:c>
      <x:c r="E279" s="9"/>
      <x:c r="F279" s="11" t="str">
        <x:v>https://www.bashinkom.ru/products/ojz/FitosporinMTomat10g</x:v>
      </x:c>
    </x:row>
    <x:row r="280" ht="62" customHeight="1">
      <x:c r="A280" s="9" t="str">
        <x:v>G30</x:v>
      </x:c>
      <x:c r="B280" s="9" t="str">
        <x:v>P0742</x:v>
      </x:c>
      <x:c r="C280" s="9" t="str">
        <x:v>БашИнком</x:v>
      </x:c>
      <x:c r="D280" s="9" t="str">
        <x:v>Фитоспорин–М Универсальный</x:v>
      </x:c>
      <x:c r="E280" s="9"/>
      <x:c r="F280" s="11" t="str">
        <x:v>https://www.bashinkom.ru/products/ojz/FitosporinMUNIVERSALNYY10g</x:v>
      </x:c>
    </x:row>
    <x:row r="281" ht="62" customHeight="1">
      <x:c r="A281" s="9" t="str">
        <x:v>G30</x:v>
      </x:c>
      <x:c r="B281" s="9" t="str">
        <x:v>P0743</x:v>
      </x:c>
      <x:c r="C281" s="9" t="str">
        <x:v>БашИнком</x:v>
      </x:c>
      <x:c r="D281" s="9" t="str">
        <x:v>Фитоспорин–М УНИВЕРСАЛЬНЫЙ</x:v>
      </x:c>
      <x:c r="E281" s="9"/>
      <x:c r="F281" s="11" t="str">
        <x:v>https://www.bashinkom.ru/products/ojz/FitosporinMUNIVERSALNYY200g</x:v>
      </x:c>
    </x:row>
    <x:row r="282" ht="62" customHeight="1">
      <x:c r="A282" s="9" t="str">
        <x:v>G30</x:v>
      </x:c>
      <x:c r="B282" s="9" t="str">
        <x:v>P0744</x:v>
      </x:c>
      <x:c r="C282" s="9" t="str">
        <x:v>БашИнком</x:v>
      </x:c>
      <x:c r="D282" s="9" t="str">
        <x:v>Фитоспорин–М Цветы</x:v>
      </x:c>
      <x:c r="E282" s="9"/>
      <x:c r="F282" s="11" t="str">
        <x:v>https://www.bashinkom.ru/products/ojz/FitosporinMTSVETY110ml</x:v>
      </x:c>
    </x:row>
    <x:row r="283" ht="62" customHeight="1">
      <x:c r="A283" s="9" t="str">
        <x:v>G30</x:v>
      </x:c>
      <x:c r="B283" s="9" t="str">
        <x:v>P0745</x:v>
      </x:c>
      <x:c r="C283" s="9" t="str">
        <x:v>БашИнком</x:v>
      </x:c>
      <x:c r="D283" s="9" t="str">
        <x:v>Фитоспорин-М, ПС, Олимпийский</x:v>
      </x:c>
      <x:c r="E283" s="9"/>
      <x:c r="F283" s="11" t="str">
        <x:v>https://www.bashinkom.ru/products/ojz/OlimpiyskiyFitosporinKnanogel90elementovimineralov200g</x:v>
      </x:c>
    </x:row>
    <x:row r="284" ht="62" customHeight="1">
      <x:c r="A284" s="9" t="str">
        <x:v>G30</x:v>
      </x:c>
      <x:c r="B284" s="9" t="str">
        <x:v>P0746</x:v>
      </x:c>
      <x:c r="C284" s="9" t="str">
        <x:v>БашИнком</x:v>
      </x:c>
      <x:c r="D284" s="9" t="str">
        <x:v>Фитоспорин-М,Ж Фунги-Бактерицид</x:v>
      </x:c>
      <x:c r="E284" s="9"/>
      <x:c r="F284" s="11" t="str">
        <x:v>https://www.bashinkom.ru/products/avz/FitosporinMZHFungiBakteritsid</x:v>
      </x:c>
    </x:row>
    <x:row r="285" ht="62" customHeight="1">
      <x:c r="A285" s="9" t="str">
        <x:v>G30</x:v>
      </x:c>
      <x:c r="B285" s="9" t="str">
        <x:v>P0747</x:v>
      </x:c>
      <x:c r="C285" s="9" t="str">
        <x:v>БашИнком</x:v>
      </x:c>
      <x:c r="D285" s="9" t="str">
        <x:v>Фитоспорин-М,Ж Хранение</x:v>
      </x:c>
      <x:c r="E285" s="9"/>
      <x:c r="F285" s="11" t="str">
        <x:v>https://www.bashinkom.ru/products/avz/FitosporinMZHKHranenie</x:v>
      </x:c>
    </x:row>
    <x:row r="286" ht="62" customHeight="1">
      <x:c r="A286" s="9" t="str">
        <x:v>G30</x:v>
      </x:c>
      <x:c r="B286" s="9" t="str">
        <x:v>P0748</x:v>
      </x:c>
      <x:c r="C286" s="9" t="str">
        <x:v>БашИнком</x:v>
      </x:c>
      <x:c r="D286" s="9" t="str">
        <x:v>Фитоспорин-М,Ж ЭКСТРА</x:v>
      </x:c>
      <x:c r="E286" s="9"/>
      <x:c r="F286" s="11" t="str">
        <x:v>https://www.bashinkom.ru/products/avz/FitosporinMZHEKSTRA</x:v>
      </x:c>
    </x:row>
    <x:row r="287" ht="62" customHeight="1">
      <x:c r="A287" s="9" t="str">
        <x:v>G30</x:v>
      </x:c>
      <x:c r="B287" s="9" t="str">
        <x:v>P0749</x:v>
      </x:c>
      <x:c r="C287" s="9" t="str">
        <x:v>БашИнком</x:v>
      </x:c>
      <x:c r="D287" s="9" t="str">
        <x:v>Фитоспорин-МП</x:v>
      </x:c>
      <x:c r="E287" s="9"/>
      <x:c r="F287" s="11" t="str">
        <x:v>https://www.bashinkom.ru/products/avz/FitosporinMP</x:v>
      </x:c>
    </x:row>
    <x:row r="288" ht="62" customHeight="1">
      <x:c r="A288" s="9" t="str">
        <x:v>G31</x:v>
      </x:c>
      <x:c r="B288" s="9" t="str">
        <x:v>P0228</x:v>
      </x:c>
      <x:c r="C288" s="9" t="str">
        <x:v>Био-комплекс</x:v>
      </x:c>
      <x:c r="D288" s="9" t="str">
        <x:v>СтопУлит, Г от слизней улиток</x:v>
      </x:c>
      <x:c r="E288" s="9"/>
      <x:c r="F288" s="11" t="str">
        <x:v>https://bio-kompleks.ru/catalog/vsya_produktsiya/stopulit_g_ot_slizney_ulitok/</x:v>
      </x:c>
    </x:row>
    <x:row r="289" ht="62" customHeight="1">
      <x:c r="A289" s="9" t="str">
        <x:v>G31</x:v>
      </x:c>
      <x:c r="B289" s="9" t="str">
        <x:v>P0360</x:v>
      </x:c>
      <x:c r="C289" s="9" t="str">
        <x:v>Органик Микс</x:v>
      </x:c>
      <x:c r="D289" s="9" t="str">
        <x:v>СТОПСЛИЗНЯК - от слизней</x:v>
      </x:c>
      <x:c r="E289" s="9"/>
      <x:c r="F289" s="11" t="str">
        <x:v>https://organic-mix.ru/catalog/stopsliznyak-ot-slizney-650-gr/</x:v>
      </x:c>
    </x:row>
    <x:row r="290" ht="62" customHeight="1">
      <x:c r="A290" s="9" t="str">
        <x:v>G32</x:v>
      </x:c>
      <x:c r="B290" s="9" t="str">
        <x:v>P0202</x:v>
      </x:c>
      <x:c r="C290" s="9" t="str">
        <x:v>Био-комплекс</x:v>
      </x:c>
      <x:c r="D290" s="9" t="str">
        <x:v>Мурагон от муравьев</x:v>
      </x:c>
      <x:c r="E290" s="9"/>
      <x:c r="F290" s="11" t="str">
        <x:v>https://bio-kompleks.ru/catalog/vsya_produktsiya/muragon_ot_muravev_4g_/</x:v>
      </x:c>
    </x:row>
    <x:row r="291" ht="62" customHeight="1">
      <x:c r="A291" s="9" t="str">
        <x:v>G32</x:v>
      </x:c>
      <x:c r="B291" s="9" t="str">
        <x:v>P0203</x:v>
      </x:c>
      <x:c r="C291" s="9" t="str">
        <x:v>Био-комплекс</x:v>
      </x:c>
      <x:c r="D291" s="9" t="str">
        <x:v>Мурагон, от муравьев садовых и домашних</x:v>
      </x:c>
      <x:c r="E291" s="9"/>
      <x:c r="F291" s="11" t="str">
        <x:v>https://bio-kompleks.ru/catalog/vsya_produktsiya/muragon_ot_muravev_sadovykh_i_domashnikh_paket_4_g/</x:v>
      </x:c>
    </x:row>
    <x:row r="292" ht="62" customHeight="1">
      <x:c r="A292" s="9" t="str">
        <x:v>G32</x:v>
      </x:c>
      <x:c r="B292" s="9" t="str">
        <x:v>P0276</x:v>
      </x:c>
      <x:c r="C292" s="9" t="str">
        <x:v>Органик Микс</x:v>
      </x:c>
      <x:c r="D292" s="9" t="str">
        <x:v>БЕЙ МУРАВЕЙ - от Органик Микс</x:v>
      </x:c>
      <x:c r="E292" s="9"/>
      <x:c r="F292" s="11" t="str">
        <x:v>https://organic-mix.ru/catalog/bey-muravey-ot-organik-miks-60-gr-/</x:v>
      </x:c>
    </x:row>
    <x:row r="293" ht="62" customHeight="1">
      <x:c r="A293" s="9" t="str">
        <x:v>G32</x:v>
      </x:c>
      <x:c r="B293" s="9" t="str">
        <x:v>P0708</x:v>
      </x:c>
      <x:c r="C293" s="9" t="str">
        <x:v>БашИнком</x:v>
      </x:c>
      <x:c r="D293" s="9" t="str">
        <x:v>Супер Кыш-Муравей</x:v>
      </x:c>
      <x:c r="E293" s="9"/>
      <x:c r="F293" s="11" t="str">
        <x:v>https://www.bashinkom.ru/products/ojz/SuperKyshMuravey03kg</x:v>
      </x:c>
    </x:row>
    <x:row r="294" ht="62" customHeight="1">
      <x:c r="A294" s="9" t="str">
        <x:v>G33</x:v>
      </x:c>
      <x:c r="B294" s="9" t="str">
        <x:v>P0241</x:v>
      </x:c>
      <x:c r="C294" s="9" t="str">
        <x:v>Био-комплекс</x:v>
      </x:c>
      <x:c r="D294" s="9" t="str">
        <x:v>ДАЧНЫЙ ПОМОЩНИК, Для септиков и выгребных ям Максимум</x:v>
      </x:c>
      <x:c r="E294" s="9"/>
      <x:c r="F294" s="11" t="str">
        <x:v>https://bio-kompleks.ru/catalog/vsya_produktsiya/dachnyy_pomoshchnik_dlya_septikov_i_vygrebnykh_yam_maksimum/</x:v>
      </x:c>
    </x:row>
    <x:row r="295" ht="62" customHeight="1">
      <x:c r="A295" s="9" t="str">
        <x:v>G33</x:v>
      </x:c>
      <x:c r="B295" s="9" t="str">
        <x:v>P0242</x:v>
      </x:c>
      <x:c r="C295" s="9" t="str">
        <x:v>Био-комплекс</x:v>
      </x:c>
      <x:c r="D295" s="9" t="str">
        <x:v>ДАЧНЫЙ ПОМОЩНИК, средство для биотуалетов (нижний бак)</x:v>
      </x:c>
      <x:c r="E295" s="9"/>
      <x:c r="F295" s="11" t="str">
        <x:v>https://bio-kompleks.ru/catalog/vsya_produktsiya/dachnyy_pomoshchnik_sredstvo_dlya_biotualetov_nizhniy_bak/</x:v>
      </x:c>
    </x:row>
    <x:row r="296" ht="62" customHeight="1">
      <x:c r="A296" s="9" t="str">
        <x:v>G33</x:v>
      </x:c>
      <x:c r="B296" s="9" t="str">
        <x:v>P0243</x:v>
      </x:c>
      <x:c r="C296" s="9" t="str">
        <x:v>Био-комплекс</x:v>
      </x:c>
      <x:c r="D296" s="9" t="str">
        <x:v>ДАЧНЫЙ ПОМОЩНИК, средство для дачных туалетов и выгребных ям</x:v>
      </x:c>
      <x:c r="E296" s="9"/>
      <x:c r="F296" s="11" t="str">
        <x:v>https://bio-kompleks.ru/catalog/vsya_produktsiya/dachnyy_pomoshchnik_sredstvo_dlya_dachnykh_tualetov_i_vygrebnykh_yam/</x:v>
      </x:c>
    </x:row>
    <x:row r="297" ht="62" customHeight="1">
      <x:c r="A297" s="9" t="str">
        <x:v>G33</x:v>
      </x:c>
      <x:c r="B297" s="9" t="str">
        <x:v>P0244</x:v>
      </x:c>
      <x:c r="C297" s="9" t="str">
        <x:v>Био-комплекс</x:v>
      </x:c>
      <x:c r="D297" s="9" t="str">
        <x:v>ДАЧНЫЙ ПОМОЩНИК, средство для септиков</x:v>
      </x:c>
      <x:c r="E297" s="9"/>
      <x:c r="F297" s="11" t="str">
        <x:v>https://bio-kompleks.ru/catalog/vsya_produktsiya/dachnyy_pomoshchnik_sredstvo_dlya_septikov/</x:v>
      </x:c>
    </x:row>
    <x:row r="298" ht="62" customHeight="1">
      <x:c r="A298" s="9" t="str">
        <x:v>G33</x:v>
      </x:c>
      <x:c r="B298" s="9" t="str">
        <x:v>P0250</x:v>
      </x:c>
      <x:c r="C298" s="9" t="str">
        <x:v>5сезонов</x:v>
      </x:c>
      <x:c r="D298" s="9" t="str">
        <x:v>MAXI 3 в 1</x:v>
      </x:c>
      <x:c r="E298" s="9"/>
      <x:c r="F298" s="11" t="str">
        <x:v>https://5-sezonov.ru/</x:v>
      </x:c>
    </x:row>
    <x:row r="299" ht="62" customHeight="1">
      <x:c r="A299" s="9" t="str">
        <x:v>G33</x:v>
      </x:c>
      <x:c r="B299" s="9" t="str">
        <x:v>P0774</x:v>
      </x:c>
      <x:c r="C299" s="9" t="str">
        <x:v>БашИнком</x:v>
      </x:c>
      <x:c r="D299" s="9" t="str">
        <x:v>Горыныч – бинарный биопрепарат для туалетов и выгребных ям</x:v>
      </x:c>
      <x:c r="E299" s="9"/>
      <x:c r="F299" s="11" t="str">
        <x:v>https://www.bashinkom.ru/products/ojz/Gorynychbinarnyybiopreparatdlyatualetovivygrebnykhyam</x:v>
      </x:c>
    </x:row>
    <x:row r="300" ht="62" customHeight="1">
      <x:c r="A300" s="9" t="str">
        <x:v>G33</x:v>
      </x:c>
      <x:c r="B300" s="9" t="str">
        <x:v>P0782</x:v>
      </x:c>
      <x:c r="C300" s="9" t="str">
        <x:v>БашИнком</x:v>
      </x:c>
      <x:c r="D300" s="9" t="str">
        <x:v>Удачный – биопрепарат для туалетов и выгребных ям</x:v>
      </x:c>
      <x:c r="E300" s="9"/>
      <x:c r="F300" s="11" t="str">
        <x:v>https://www.bashinkom.ru/products/ojz/Udachnyybiopreparatdlyatualetovivygrebnykhyam30g</x:v>
      </x:c>
    </x:row>
    <x:row r="301" ht="62" customHeight="1">
      <x:c r="A301" s="9" t="str">
        <x:v>G33</x:v>
      </x:c>
      <x:c r="B301" s="9" t="str">
        <x:v>P0784</x:v>
      </x:c>
      <x:c r="C301" s="9" t="str">
        <x:v>БашИнком</x:v>
      </x:c>
      <x:c r="D301" s="9" t="str">
        <x:v>Хозяин Септиков</x:v>
      </x:c>
      <x:c r="E301" s="9"/>
      <x:c r="F301" s="11" t="str">
        <x:v>https://www.bashinkom.ru/products/ojz/KHozyainSeptika50g</x:v>
      </x:c>
    </x:row>
    <x:row r="302" ht="62" customHeight="1">
      <x:c r="A302" s="9" t="str">
        <x:v>G34</x:v>
      </x:c>
      <x:c r="B302" s="9" t="str">
        <x:v>P0188</x:v>
      </x:c>
      <x:c r="C302" s="9" t="str">
        <x:v>Био-комплекс</x:v>
      </x:c>
      <x:c r="D302" s="9" t="str">
        <x:v>ДАЧНЫЙ ПОМОЩНИК, Средство для мойки теплиц, концентрат</x:v>
      </x:c>
      <x:c r="E302" s="9"/>
      <x:c r="F302" s="11" t="str">
        <x:v>https://bio-kompleks.ru/catalog/vsya_produktsiya/dachnyy_pomoshchnik_sredstvo_dlya_moyki_teplits_kontsentrat/</x:v>
      </x:c>
    </x:row>
    <x:row r="303" ht="62" customHeight="1">
      <x:c r="A303" s="9" t="str">
        <x:v>G34</x:v>
      </x:c>
      <x:c r="B303" s="9" t="str">
        <x:v>P0298</x:v>
      </x:c>
      <x:c r="C303" s="9" t="str">
        <x:v>Органик Микс</x:v>
      </x:c>
      <x:c r="D303" s="9" t="str">
        <x:v>БИОСАНИТАРИН - для садового инструмента</x:v>
      </x:c>
      <x:c r="E303" s="9"/>
      <x:c r="F303" s="11" t="str">
        <x:v>https://organic-mix.ru/catalog/biosanitarin-dlya-sadovogo-instrumenta-100-ml/</x:v>
      </x:c>
    </x:row>
    <x:row r="304" ht="62" customHeight="1">
      <x:c r="A304" s="9" t="str">
        <x:v>G34</x:v>
      </x:c>
      <x:c r="B304" s="9" t="str">
        <x:v>P0299</x:v>
      </x:c>
      <x:c r="C304" s="9" t="str">
        <x:v>Органик Микс</x:v>
      </x:c>
      <x:c r="D304" s="9" t="str">
        <x:v>БИОСАНИТАРИН для теплиц и инвентаря</x:v>
      </x:c>
      <x:c r="E304" s="9"/>
      <x:c r="F304" s="11" t="str">
        <x:v>https://organic-mix.ru/catalog/biosanitarin-dlya-teplits-i-inventarya-500-ml/</x:v>
      </x:c>
    </x:row>
    <x:row r="305" ht="62" customHeight="1">
      <x:c r="A305" s="9" t="str">
        <x:v>G35</x:v>
      </x:c>
      <x:c r="B305" s="9" t="str">
        <x:v>P0132</x:v>
      </x:c>
      <x:c r="C305" s="9" t="str">
        <x:v>Био-комплекс</x:v>
      </x:c>
      <x:c r="D305" s="9" t="str">
        <x:v>БИО-комплекс, ТМ Листория, Виноград</x:v>
      </x:c>
      <x:c r="E305" s="9"/>
      <x:c r="F305" s="11" t="str">
        <x:v>https://bio-kompleks.ru/catalog/vsya_produktsiya/bio_kompleks_tm_listoriya_vinograd_professionalnoe_mineralnoe_udobrenie_npk_0_40_25/</x:v>
      </x:c>
    </x:row>
    <x:row r="306" ht="62" customHeight="1">
      <x:c r="A306" s="9" t="str">
        <x:v>G35</x:v>
      </x:c>
      <x:c r="B306" s="9" t="str">
        <x:v>P0133</x:v>
      </x:c>
      <x:c r="C306" s="9" t="str">
        <x:v>Био-комплекс</x:v>
      </x:c>
      <x:c r="D306" s="9" t="str">
        <x:v>БИО-комплекс, ТМ Листория, Газон</x:v>
      </x:c>
      <x:c r="E306" s="9"/>
      <x:c r="F306" s="11" t="str">
        <x:v>https://bio-kompleks.ru/catalog/vsya_produktsiya/bio_kompleks_tm_listoriya_gazon_professionalnoe_mineralnoe_udobrenie_npk_19_19_19/</x:v>
      </x:c>
    </x:row>
    <x:row r="307" ht="62" customHeight="1">
      <x:c r="A307" s="9" t="str">
        <x:v>G35</x:v>
      </x:c>
      <x:c r="B307" s="9" t="str">
        <x:v>P0134</x:v>
      </x:c>
      <x:c r="C307" s="9" t="str">
        <x:v>Био-комплекс</x:v>
      </x:c>
      <x:c r="D307" s="9" t="str">
        <x:v>БИО-комплекс, ТМ Листория, Овощи</x:v>
      </x:c>
      <x:c r="E307" s="9"/>
      <x:c r="F307" s="11" t="str">
        <x:v>https://bio-kompleks.ru/catalog/vsya_produktsiya/bio_kompleks_tm_listoriya_ovoshchi_professionalnoe_mineralnoe_udobrenie_npk_6_18_37/</x:v>
      </x:c>
    </x:row>
    <x:row r="308" ht="62" customHeight="1">
      <x:c r="A308" s="9" t="str">
        <x:v>G35</x:v>
      </x:c>
      <x:c r="B308" s="9" t="str">
        <x:v>P0135</x:v>
      </x:c>
      <x:c r="C308" s="9" t="str">
        <x:v>Био-комплекс</x:v>
      </x:c>
      <x:c r="D308" s="9" t="str">
        <x:v>БИО-комплекс, ТМ Листория, ОСЕНЬ</x:v>
      </x:c>
      <x:c r="E308" s="9"/>
      <x:c r="F308" s="11" t="str">
        <x:v>https://bio-kompleks.ru/catalog/vsya_produktsiya/bio_kompleks_tm_listoriya_osen_professionalnoe_mineralnoe_udobrenie_npk_0_36_24/</x:v>
      </x:c>
    </x:row>
    <x:row r="309" ht="62" customHeight="1">
      <x:c r="A309" s="9" t="str">
        <x:v>G35</x:v>
      </x:c>
      <x:c r="B309" s="9" t="str">
        <x:v>P0136</x:v>
      </x:c>
      <x:c r="C309" s="9" t="str">
        <x:v>Био-комплекс</x:v>
      </x:c>
      <x:c r="D309" s="9" t="str">
        <x:v>БИО-комплекс, ТМ Листория, Плоды</x:v>
      </x:c>
      <x:c r="E309" s="9"/>
      <x:c r="F309" s="11" t="str">
        <x:v>https://bio-kompleks.ru/catalog/vsya_produktsiya/bio_kompleks_tm_listoriya_plody/</x:v>
      </x:c>
    </x:row>
    <x:row r="310" ht="62" customHeight="1">
      <x:c r="A310" s="9" t="str">
        <x:v>G35</x:v>
      </x:c>
      <x:c r="B310" s="9" t="str">
        <x:v>P0137</x:v>
      </x:c>
      <x:c r="C310" s="9" t="str">
        <x:v>Био-комплекс</x:v>
      </x:c>
      <x:c r="D310" s="9" t="str">
        <x:v>БИО-комплекс, ТМ Листория, Рассада</x:v>
      </x:c>
      <x:c r="E310" s="9"/>
      <x:c r="F310" s="11" t="str">
        <x:v>https://bio-kompleks.ru/catalog/vsya_produktsiya/bio_kompleks_tm_listoriya_rassada/</x:v>
      </x:c>
    </x:row>
    <x:row r="311" ht="62" customHeight="1">
      <x:c r="A311" s="9" t="str">
        <x:v>G35</x:v>
      </x:c>
      <x:c r="B311" s="9" t="str">
        <x:v>P0138</x:v>
      </x:c>
      <x:c r="C311" s="9" t="str">
        <x:v>Био-комплекс</x:v>
      </x:c>
      <x:c r="D311" s="9" t="str">
        <x:v>БИО-комплекс, ТМ Листория, Томат</x:v>
      </x:c>
      <x:c r="E311" s="9"/>
      <x:c r="F311" s="11" t="str">
        <x:v>https://bio-kompleks.ru/catalog/vsya_produktsiya/bio_kompleks_tm_listoriya_tomat/</x:v>
      </x:c>
    </x:row>
    <x:row r="312" ht="62" customHeight="1">
      <x:c r="A312" s="9" t="str">
        <x:v>G35</x:v>
      </x:c>
      <x:c r="B312" s="9" t="str">
        <x:v>P0139</x:v>
      </x:c>
      <x:c r="C312" s="9" t="str">
        <x:v>Био-комплекс</x:v>
      </x:c>
      <x:c r="D312" s="9" t="str">
        <x:v>БИО-комплекс, ТМ Листория, Универсальное</x:v>
      </x:c>
      <x:c r="E312" s="9"/>
      <x:c r="F312" s="11" t="str">
        <x:v>https://bio-kompleks.ru/catalog/vsya_produktsiya/bio_kompleks_tm_listoriya_universalnoe_professionalnoe_mineralnoe_udobrenie_npk_19_19_19/</x:v>
      </x:c>
    </x:row>
    <x:row r="313" ht="62" customHeight="1">
      <x:c r="A313" s="9" t="str">
        <x:v>G35</x:v>
      </x:c>
      <x:c r="B313" s="9" t="str">
        <x:v>P0140</x:v>
      </x:c>
      <x:c r="C313" s="9" t="str">
        <x:v>Био-комплекс</x:v>
      </x:c>
      <x:c r="D313" s="9" t="str">
        <x:v>БИО-комплекс, ТМ Листория, Хвойные вечнозелёные</x:v>
      </x:c>
      <x:c r="E313" s="9"/>
      <x:c r="F313" s="11" t="str">
        <x:v>https://bio-kompleks.ru/catalog/vsya_produktsiya/bio_kompleks_tm_listoriya_khvoynye_vechnozelyenye/</x:v>
      </x:c>
    </x:row>
    <x:row r="314" ht="62" customHeight="1">
      <x:c r="A314" s="9" t="str">
        <x:v>G35</x:v>
      </x:c>
      <x:c r="B314" s="9" t="str">
        <x:v>P0141</x:v>
      </x:c>
      <x:c r="C314" s="9" t="str">
        <x:v>Био-комплекс</x:v>
      </x:c>
      <x:c r="D314" s="9" t="str">
        <x:v>БИО-комплекс, ТМ Листория, Цветы</x:v>
      </x:c>
      <x:c r="E314" s="9"/>
      <x:c r="F314" s="11" t="str">
        <x:v>https://bio-kompleks.ru/catalog/vsya_produktsiya/bio_kompleks_tm_listoriya_tsvety/</x:v>
      </x:c>
    </x:row>
    <x:row r="315" ht="62" customHeight="1">
      <x:c r="A315" s="9" t="str">
        <x:v>G35</x:v>
      </x:c>
      <x:c r="B315" s="9" t="str">
        <x:v>P0142</x:v>
      </x:c>
      <x:c r="C315" s="9" t="str">
        <x:v>Био-комплекс</x:v>
      </x:c>
      <x:c r="D315" s="9" t="str">
        <x:v>БИО-комплекс, ТМ Листория, Ягоды</x:v>
      </x:c>
      <x:c r="E315" s="9"/>
      <x:c r="F315" s="11" t="str">
        <x:v>https://bio-kompleks.ru/catalog/vsya_produktsiya/bio_kompleks_tm_listoriya_yagody/</x:v>
      </x:c>
    </x:row>
    <x:row r="316" ht="62" customHeight="1">
      <x:c r="A316" s="9" t="str">
        <x:v>G35</x:v>
      </x:c>
      <x:c r="B316" s="9" t="str">
        <x:v>P0204</x:v>
      </x:c>
      <x:c r="C316" s="9" t="str">
        <x:v>Био-комплекс</x:v>
      </x:c>
      <x:c r="D316" s="9" t="str">
        <x:v>Нутривант Плюс, Виноград NPK: 0-40-25, профессиональное комплексное удобрение</x:v>
      </x:c>
      <x:c r="E316" s="9"/>
      <x:c r="F316" s="11" t="str">
        <x:v>https://bio-kompleks.ru/catalog/vsya_produktsiya/nutrivant-plyus-vinograd-npk-0-40-25-professionalnoe-kompleksnoe-udobrenie/</x:v>
      </x:c>
    </x:row>
    <x:row r="317" ht="62" customHeight="1">
      <x:c r="A317" s="9" t="str">
        <x:v>G35</x:v>
      </x:c>
      <x:c r="B317" s="9" t="str">
        <x:v>P0205</x:v>
      </x:c>
      <x:c r="C317" s="9" t="str">
        <x:v>Био-комплекс</x:v>
      </x:c>
      <x:c r="D317" s="9" t="str">
        <x:v>Нутривант Плюс, Овощной NPK: 6-18-37, профессиональное комплексное удобрение</x:v>
      </x:c>
      <x:c r="E317" s="9"/>
      <x:c r="F317" s="11" t="str">
        <x:v>https://bio-kompleks.ru/catalog/vsya_produktsiya/nutrivant-plyus-ovoshchnoy-npk-6-18-37-professionalnoe-kompleksnoe-udobrenie/</x:v>
      </x:c>
    </x:row>
    <x:row r="318" ht="62" customHeight="1">
      <x:c r="A318" s="9" t="str">
        <x:v>G35</x:v>
      </x:c>
      <x:c r="B318" s="9" t="str">
        <x:v>P0206</x:v>
      </x:c>
      <x:c r="C318" s="9" t="str">
        <x:v>Био-комплекс</x:v>
      </x:c>
      <x:c r="D318" s="9" t="str">
        <x:v>Нутривант Плюс, Плоды-цветы (Юникроп) NPK 0-36-24 профессиональное комплексное удобрение</x:v>
      </x:c>
      <x:c r="E318" s="9"/>
      <x:c r="F318" s="11" t="str">
        <x:v>https://bio-kompleks.ru/catalog/vsya_produktsiya/nutrivant-plyus-plody-tsvety-yunikrop-npk-0-36-24-professionalnoe-kompleksnoe-udobrenie/</x:v>
      </x:c>
    </x:row>
    <x:row r="319" ht="62" customHeight="1">
      <x:c r="A319" s="9" t="str">
        <x:v>G35</x:v>
      </x:c>
      <x:c r="B319" s="9" t="str">
        <x:v>P0207</x:v>
      </x:c>
      <x:c r="C319" s="9" t="str">
        <x:v>Био-комплекс</x:v>
      </x:c>
      <x:c r="D319" s="9" t="str">
        <x:v>Нутривант Плюс, Томат NPK: 6-18-37, профессиональное комплексное удобрение</x:v>
      </x:c>
      <x:c r="E319" s="9"/>
      <x:c r="F319" s="11" t="str">
        <x:v>https://bio-kompleks.ru/catalog/vsya_produktsiya/nutrivant-plyus-tomat-npk-6-18-37-professionalnoe-kompleksnoe-udobrenie/</x:v>
      </x:c>
    </x:row>
    <x:row r="320" ht="62" customHeight="1">
      <x:c r="A320" s="9" t="str">
        <x:v>G35</x:v>
      </x:c>
      <x:c r="B320" s="9" t="str">
        <x:v>P0208</x:v>
      </x:c>
      <x:c r="C320" s="9" t="str">
        <x:v>Био-комплекс</x:v>
      </x:c>
      <x:c r="D320" s="9" t="str">
        <x:v>Нутривант Плюс, Универсальный NPK: 19-19-19, профессиональное комплексное удобрение</x:v>
      </x:c>
      <x:c r="E320" s="9"/>
      <x:c r="F320" s="11" t="str">
        <x:v>https://bio-kompleks.ru/catalog/vsya_produktsiya/nutrivant-plyus-universalnyy-npk-19-19-19-professionalnoe-kompleksnoe-udobrenie/</x:v>
      </x:c>
    </x:row>
    <x:row r="321" ht="62" customHeight="1">
      <x:c r="A321" s="9" t="str">
        <x:v>G35</x:v>
      </x:c>
      <x:c r="B321" s="9" t="str">
        <x:v>P0209</x:v>
      </x:c>
      <x:c r="C321" s="9" t="str">
        <x:v>Био-комплекс</x:v>
      </x:c>
      <x:c r="D321" s="9" t="str">
        <x:v>Нутривант Плюс, Хвойные вечнозелёные NPK 0-36-24 профессиональное комплексное удобрение</x:v>
      </x:c>
      <x:c r="E321" s="9"/>
      <x:c r="F321" s="11" t="str">
        <x:v>https://bio-kompleks.ru/catalog/vsya_produktsiya/nutrivant-plyus-khvoynye-vechnozelyenye-npk-0-36-24-professionalnoe-kompleksnoe-udobrenie/</x:v>
      </x:c>
    </x:row>
    <x:row r="322" ht="62" customHeight="1">
      <x:c r="A322" s="9" t="str">
        <x:v>G35</x:v>
      </x:c>
      <x:c r="B322" s="9" t="str">
        <x:v>P0210</x:v>
      </x:c>
      <x:c r="C322" s="9" t="str">
        <x:v>Био-комплекс</x:v>
      </x:c>
      <x:c r="D322" s="9" t="str">
        <x:v>Нутривант Плюс, Цветы NPK: 19-19-19, профессиональное комплексное удобрение</x:v>
      </x:c>
      <x:c r="E322" s="9"/>
      <x:c r="F322" s="11" t="str">
        <x:v>https://bio-kompleks.ru/catalog/vsya_produktsiya/nutrivant-plyus-tsvety-npk-19-19-19-professionalnoe-kompleksnoe-udobrenie/</x:v>
      </x:c>
    </x:row>
    <x:row r="323" ht="62" customHeight="1">
      <x:c r="A323" s="9" t="str">
        <x:v>G35</x:v>
      </x:c>
      <x:c r="B323" s="9" t="str">
        <x:v>P0211</x:v>
      </x:c>
      <x:c r="C323" s="9" t="str">
        <x:v>Био-комплекс</x:v>
      </x:c>
      <x:c r="D323" s="9" t="str">
        <x:v>Нутривант Плюс, Ягодный NPK: 12-5-27, профессиональное комплексное удобрение</x:v>
      </x:c>
      <x:c r="E323" s="9"/>
      <x:c r="F323" s="11" t="str">
        <x:v>https://bio-kompleks.ru/catalog/vsya_produktsiya/nutrivant-plyus-yagodnyy-npk-12-5-27-professionalnoe-kompleksnoe-udobrenie/</x:v>
      </x:c>
    </x:row>
    <x:row r="324" ht="62" customHeight="1">
      <x:c r="A324" s="9" t="str">
        <x:v>G35</x:v>
      </x:c>
      <x:c r="B324" s="9" t="str">
        <x:v>P0546</x:v>
      </x:c>
      <x:c r="C324" s="9" t="str">
        <x:v>БашИнком</x:v>
      </x:c>
      <x:c r="D324" s="9" t="str">
        <x:v>Бионекс-Кеми 14:0:16+20</x:v>
      </x:c>
      <x:c r="E324" s="9"/>
      <x:c r="F324" s="11" t="str">
        <x:v>https://www.bashinkom.ru/products/avz/BioneksKemiRastvorimyy1401620</x:v>
      </x:c>
    </x:row>
    <x:row r="325" ht="62" customHeight="1">
      <x:c r="A325" s="9" t="str">
        <x:v>G35</x:v>
      </x:c>
      <x:c r="B325" s="9" t="str">
        <x:v>P0547</x:v>
      </x:c>
      <x:c r="C325" s="9" t="str">
        <x:v>БашИнком</x:v>
      </x:c>
      <x:c r="D325" s="9" t="str">
        <x:v>Бионекс-Кеми 2:40:27+1,2</x:v>
      </x:c>
      <x:c r="E325" s="9"/>
      <x:c r="F325" s="11" t="str">
        <x:v>https://www.bashinkom.ru/products/avz/BioneksKemiRastvorimyy2402712</x:v>
      </x:c>
    </x:row>
    <x:row r="326" ht="62" customHeight="1">
      <x:c r="A326" s="9" t="str">
        <x:v>G35</x:v>
      </x:c>
      <x:c r="B326" s="9" t="str">
        <x:v>P0548</x:v>
      </x:c>
      <x:c r="C326" s="9" t="str">
        <x:v>БашИнком</x:v>
      </x:c>
      <x:c r="D326" s="9" t="str">
        <x:v>Бионекс-Кеми NPK + Mg+ S 18:18:18+1,1+5</x:v>
      </x:c>
      <x:c r="E326" s="9"/>
      <x:c r="F326" s="11" t="str">
        <x:v>https://www.bashinkom.ru/products/avz/BioneksKemiRastvorimyy18181811</x:v>
      </x:c>
    </x:row>
    <x:row r="327" ht="62" customHeight="1">
      <x:c r="A327" s="9" t="str">
        <x:v>G35</x:v>
      </x:c>
      <x:c r="B327" s="9" t="str">
        <x:v>P0549</x:v>
      </x:c>
      <x:c r="C327" s="9" t="str">
        <x:v>БашИнком</x:v>
      </x:c>
      <x:c r="D327" s="9" t="str">
        <x:v>Бионекс-Кеми NPK + Mg+ S 9:12:33+1,4+ 5</x:v>
      </x:c>
      <x:c r="E327" s="9"/>
      <x:c r="F327" s="11" t="str">
        <x:v>https://www.bashinkom.ru/products/avz/BioneksKemiRastvorimyy</x:v>
      </x:c>
    </x:row>
    <x:row r="328" ht="62" customHeight="1">
      <x:c r="A328" s="9" t="str">
        <x:v>G35</x:v>
      </x:c>
      <x:c r="B328" s="9" t="str">
        <x:v>P0550</x:v>
      </x:c>
      <x:c r="C328" s="9" t="str">
        <x:v>БашИнком</x:v>
      </x:c>
      <x:c r="D328" s="9" t="str">
        <x:v>Бионекс-Кеми NPK+Mg+S 15:11:25+1,2+7</x:v>
      </x:c>
      <x:c r="E328" s="9"/>
      <x:c r="F328" s="11" t="str">
        <x:v>https://www.bashinkom.ru/products/avz/BioneksKemiRastvorimyy15112512</x:v>
      </x:c>
    </x:row>
    <x:row r="329" ht="62" customHeight="1">
      <x:c r="A329" s="9" t="str">
        <x:v>G35</x:v>
      </x:c>
      <x:c r="B329" s="9" t="str">
        <x:v>P0551</x:v>
      </x:c>
      <x:c r="C329" s="9" t="str">
        <x:v>БашИнком</x:v>
      </x:c>
      <x:c r="D329" s="9" t="str">
        <x:v>Бионекс-Кеми Жидкий NCa 7:10</x:v>
      </x:c>
      <x:c r="E329" s="9"/>
      <x:c r="F329" s="11" t="str">
        <x:v>https://www.bashinkom.ru/products/avz/BioneksKemiZHidkiyNCa710</x:v>
      </x:c>
    </x:row>
    <x:row r="330" ht="62" customHeight="1">
      <x:c r="A330" s="9" t="str">
        <x:v>G35</x:v>
      </x:c>
      <x:c r="B330" s="9" t="str">
        <x:v>P0552</x:v>
      </x:c>
      <x:c r="C330" s="9" t="str">
        <x:v>БашИнком</x:v>
      </x:c>
      <x:c r="D330" s="9" t="str">
        <x:v>Бионекс-Кеми Жидкий NPK 0:18:20+ МЭ</x:v>
      </x:c>
      <x:c r="E330" s="9"/>
      <x:c r="F330" s="11" t="str">
        <x:v>https://www.bashinkom.ru/products/avz/BioneksKemiZHidkiy01820ME</x:v>
      </x:c>
    </x:row>
    <x:row r="331" ht="62" customHeight="1">
      <x:c r="A331" s="9" t="str">
        <x:v>G35</x:v>
      </x:c>
      <x:c r="B331" s="9" t="str">
        <x:v>P0553</x:v>
      </x:c>
      <x:c r="C331" s="9" t="str">
        <x:v>БашИнком</x:v>
      </x:c>
      <x:c r="D331" s="9" t="str">
        <x:v>Бионекс-Кеми Жидкий NPK 10:10:10+МЭ</x:v>
      </x:c>
      <x:c r="E331" s="9"/>
      <x:c r="F331" s="11" t="str">
        <x:v>https://www.bashinkom.ru/products/avz/BioneksKemiZHidkiy101010ME</x:v>
      </x:c>
    </x:row>
    <x:row r="332" ht="62" customHeight="1">
      <x:c r="A332" s="9" t="str">
        <x:v>G35</x:v>
      </x:c>
      <x:c r="B332" s="9" t="str">
        <x:v>P0554</x:v>
      </x:c>
      <x:c r="C332" s="9" t="str">
        <x:v>БашИнком</x:v>
      </x:c>
      <x:c r="D332" s="9" t="str">
        <x:v>Бионекс-Кеми Жидкий NPK 10:30:0+ МЭ</x:v>
      </x:c>
      <x:c r="E332" s="9"/>
      <x:c r="F332" s="11" t="str">
        <x:v>https://www.bashinkom.ru/products/avz/BioneksKemiZHidkiy10300ME</x:v>
      </x:c>
    </x:row>
    <x:row r="333" ht="62" customHeight="1">
      <x:c r="A333" s="9" t="str">
        <x:v>G35</x:v>
      </x:c>
      <x:c r="B333" s="9" t="str">
        <x:v>P0555</x:v>
      </x:c>
      <x:c r="C333" s="9" t="str">
        <x:v>БашИнком</x:v>
      </x:c>
      <x:c r="D333" s="9" t="str">
        <x:v>Бионекс-Кеми Жидкий NPK 15:7:8 + МЭ</x:v>
      </x:c>
      <x:c r="E333" s="9"/>
      <x:c r="F333" s="11" t="str">
        <x:v>https://www.bashinkom.ru/products/avz/BioneksKemiZHidkiy1578ME</x:v>
      </x:c>
    </x:row>
    <x:row r="334" ht="62" customHeight="1">
      <x:c r="A334" s="9" t="str">
        <x:v>G35</x:v>
      </x:c>
      <x:c r="B334" s="9" t="str">
        <x:v>P0556</x:v>
      </x:c>
      <x:c r="C334" s="9" t="str">
        <x:v>БашИнком</x:v>
      </x:c>
      <x:c r="D334" s="9" t="str">
        <x:v>Бионекс-Кеми Жидкий NPK 21:4:4+МЭ</x:v>
      </x:c>
      <x:c r="E334" s="9"/>
      <x:c r="F334" s="11" t="str">
        <x:v>https://www.bashinkom.ru/products/avz/BioneksKemiZHidkiy2144ME</x:v>
      </x:c>
    </x:row>
    <x:row r="335" ht="62" customHeight="1">
      <x:c r="A335" s="9" t="str">
        <x:v>G35</x:v>
      </x:c>
      <x:c r="B335" s="9" t="str">
        <x:v>P0557</x:v>
      </x:c>
      <x:c r="C335" s="9" t="str">
        <x:v>БашИнком</x:v>
      </x:c>
      <x:c r="D335" s="9" t="str">
        <x:v>Бионекс-Кеми Профи NPK + Mg 40:1,5:2+0,7+2</x:v>
      </x:c>
      <x:c r="E335" s="9"/>
      <x:c r="F335" s="11" t="str">
        <x:v>https://www.bashinkom.ru/products/avz/BioneksKemiRastvorimyy4015207</x:v>
      </x:c>
    </x:row>
    <x:row r="336" ht="62" customHeight="1">
      <x:c r="A336" s="9" t="str">
        <x:v>G35</x:v>
      </x:c>
      <x:c r="B336" s="9" t="str">
        <x:v>P0558</x:v>
      </x:c>
      <x:c r="C336" s="9" t="str">
        <x:v>БашИнком</x:v>
      </x:c>
      <x:c r="D336" s="9" t="str">
        <x:v>Бионекс-Кеми Профи NPK+Mg+S 35:1:1,5+0,7+6</x:v>
      </x:c>
      <x:c r="E336" s="9"/>
      <x:c r="F336" s="11" t="str">
        <x:v>https://www.bashinkom.ru/products/avz/BioneksKemiRastvorimyy35115076</x:v>
      </x:c>
    </x:row>
    <x:row r="337" ht="62" customHeight="1">
      <x:c r="A337" s="9" t="str">
        <x:v>G35</x:v>
      </x:c>
      <x:c r="B337" s="9" t="str">
        <x:v>P0573</x:v>
      </x:c>
      <x:c r="C337" s="9" t="str">
        <x:v>БашИнком</x:v>
      </x:c>
      <x:c r="D337" s="9" t="str">
        <x:v>Богатый NPK 5:6:9 Калийный+МЭ</x:v>
      </x:c>
      <x:c r="E337" s="9"/>
      <x:c r="F337" s="11" t="str">
        <x:v>https://www.bashinkom.ru/products/avz/BogatyyNPK569KaliynyyME</x:v>
      </x:c>
    </x:row>
    <x:row r="338" ht="62" customHeight="1">
      <x:c r="A338" s="9" t="str">
        <x:v>G35</x:v>
      </x:c>
      <x:c r="B338" s="9" t="str">
        <x:v>P0574</x:v>
      </x:c>
      <x:c r="C338" s="9" t="str">
        <x:v>БашИнком</x:v>
      </x:c>
      <x:c r="D338" s="9" t="str">
        <x:v>Богатый NPK 8:3:11 Калийный+МЭ</x:v>
      </x:c>
      <x:c r="E338" s="9"/>
      <x:c r="F338" s="11" t="str">
        <x:v>https://www.bashinkom.ru/products/avz/BogatyyNPK848KaliynyyME</x:v>
      </x:c>
    </x:row>
    <x:row r="339" ht="62" customHeight="1">
      <x:c r="A339" s="9" t="str">
        <x:v>G35</x:v>
      </x:c>
      <x:c r="B339" s="9" t="str">
        <x:v>P0646</x:v>
      </x:c>
      <x:c r="C339" s="9" t="str">
        <x:v>БашИнком</x:v>
      </x:c>
      <x:c r="D339" s="9" t="str">
        <x:v>Комплексное удобрение с зеленым хелатором БИЯК Бионекс-кеми Универсальный</x:v>
      </x:c>
      <x:c r="E339" s="9"/>
      <x:c r="F339" s="11" t="str">
        <x:v>https://www.bashinkom.ru/products/prodecor/KompleksnoeudobrenieszelenymkhelatoromBIYAKBionekskemiUniversalnyy</x:v>
      </x:c>
    </x:row>
    <x:row r="340" ht="62" customHeight="1">
      <x:c r="A340" s="9" t="str">
        <x:v>G35</x:v>
      </x:c>
      <x:c r="B340" s="9" t="str">
        <x:v>P0647</x:v>
      </x:c>
      <x:c r="C340" s="9" t="str">
        <x:v>БашИнком</x:v>
      </x:c>
      <x:c r="D340" s="9" t="str">
        <x:v>Комплексное универсальное удобрение для всех садово-огородных культур Бионекс-Кеми 18:18:18 + 1,1</x:v>
      </x:c>
      <x:c r="E340" s="9"/>
      <x:c r="F340" s="11" t="str">
        <x:v>https://www.bashinkom.ru/products/ojz/KompleksnoeuniversalnoeudobreniedlyavsekhsadovoogorodnykhkulturBioneksKemi18181811200g</x:v>
      </x:c>
    </x:row>
    <x:row r="341" ht="62" customHeight="1">
      <x:c r="A341" s="9" t="str">
        <x:v>G35</x:v>
      </x:c>
      <x:c r="B341" s="9" t="str">
        <x:v>P0648</x:v>
      </x:c>
      <x:c r="C341" s="9" t="str">
        <x:v>БашИнком</x:v>
      </x:c>
      <x:c r="D341" s="9" t="str">
        <x:v>Комплексное универсальное удобрение для комнатных растений Бионекс-Кеми водорастворимый</x:v>
      </x:c>
      <x:c r="E341" s="9"/>
      <x:c r="F341" s="11" t="str">
        <x:v>https://www.bashinkom.ru/products/ojz/KompleksnoeuniversalnoeudobreniedlyakomnatnykhrasteniyBioneksKemivodorastvorimyy50g</x:v>
      </x:c>
    </x:row>
    <x:row r="342" ht="62" customHeight="1">
      <x:c r="A342" s="9" t="str">
        <x:v>G36</x:v>
      </x:c>
      <x:c r="B342" s="9" t="str">
        <x:v>P0069</x:v>
      </x:c>
      <x:c r="C342" s="9" t="str">
        <x:v>Био-комплекс</x:v>
      </x:c>
      <x:c r="D342" s="9" t="str">
        <x:v>БИО-комплекс Диатомит Садовый</x:v>
      </x:c>
      <x:c r="E342" s="9"/>
      <x:c r="F342" s="11" t="str">
        <x:v>https://bio-kompleks.ru/catalog/vsya_produktsiya/bio_kompleks_diatomit_sadovyy_/</x:v>
      </x:c>
    </x:row>
    <x:row r="343" ht="62" customHeight="1">
      <x:c r="A343" s="9" t="str">
        <x:v>G36</x:v>
      </x:c>
      <x:c r="B343" s="9" t="str">
        <x:v>P0124</x:v>
      </x:c>
      <x:c r="C343" s="9" t="str">
        <x:v>Био-комплекс</x:v>
      </x:c>
      <x:c r="D343" s="9" t="str">
        <x:v>БИО-комплекс Цеолит</x:v>
      </x:c>
      <x:c r="E343" s="9"/>
      <x:c r="F343" s="11" t="str">
        <x:v>https://bio-kompleks.ru/catalog/vsya_produktsiya/bio_kompleks_tseolit/</x:v>
      </x:c>
    </x:row>
    <x:row r="344" ht="62" customHeight="1">
      <x:c r="A344" s="9" t="str">
        <x:v>G36</x:v>
      </x:c>
      <x:c r="B344" s="9" t="str">
        <x:v>P0260</x:v>
      </x:c>
      <x:c r="C344" s="9" t="str">
        <x:v>Органик Микс</x:v>
      </x:c>
      <x:c r="D344" s="9" t="str">
        <x:v>АКВАСЕЙФ</x:v>
      </x:c>
      <x:c r="E344" s="9"/>
      <x:c r="F344" s="11" t="str">
        <x:v>https://organic-mix.ru/catalog/akvaseyf-1-1-kg/</x:v>
      </x:c>
    </x:row>
    <x:row r="345" ht="62" customHeight="1">
      <x:c r="A345" s="9" t="str">
        <x:v>G36</x:v>
      </x:c>
      <x:c r="B345" s="9" t="str">
        <x:v>P0343</x:v>
      </x:c>
      <x:c r="C345" s="9" t="str">
        <x:v>Органик Микс</x:v>
      </x:c>
      <x:c r="D345" s="9" t="str">
        <x:v>Органический адсорбент для почвы ДЕТОКСЕР</x:v>
      </x:c>
      <x:c r="E345" s="9"/>
      <x:c r="F345" s="11" t="str">
        <x:v>https://organic-mix.ru/catalog/detokser-240-gr-organik-miks/</x:v>
      </x:c>
    </x:row>
    <x:row r="346" ht="62" customHeight="1">
      <x:c r="A346" s="9" t="str">
        <x:v>G36</x:v>
      </x:c>
      <x:c r="B346" s="9" t="str">
        <x:v>P0356</x:v>
      </x:c>
      <x:c r="C346" s="9" t="str">
        <x:v>Органик Микс</x:v>
      </x:c>
      <x:c r="D346" s="9" t="str">
        <x:v>Разрыхлин Органик Микс</x:v>
      </x:c>
      <x:c r="E346" s="9"/>
      <x:c r="F346" s="11" t="str">
        <x:v>https://organic-mix.ru/catalog/razrykhlin-10-l-organik-miks-vedro-/</x:v>
      </x:c>
    </x:row>
    <x:row r="347" ht="62" customHeight="1">
      <x:c r="A347" s="9" t="str">
        <x:v>G36</x:v>
      </x:c>
      <x:c r="B347" s="9" t="str">
        <x:v>P0514</x:v>
      </x:c>
      <x:c r="C347" s="9" t="str">
        <x:v>Органик Микс</x:v>
      </x:c>
      <x:c r="D347" s="9" t="str">
        <x:v>СТРУКТУРИН для глинистых почв</x:v>
      </x:c>
      <x:c r="E347" s="9"/>
      <x:c r="F347" s="11" t="str">
        <x:v>https://organic-mix.ru/catalog/strukturin/</x:v>
      </x:c>
    </x:row>
    <x:row r="348" ht="62" customHeight="1">
      <x:c r="A348" s="9" t="str">
        <x:v>G36</x:v>
      </x:c>
      <x:c r="B348" s="9" t="str">
        <x:v>P0638</x:v>
      </x:c>
      <x:c r="C348" s="9" t="str">
        <x:v>БашИнком</x:v>
      </x:c>
      <x:c r="D348" s="9" t="str">
        <x:v>ДРЕНАЖ КЕРАМЗИТОВЫЙ крупный</x:v>
      </x:c>
      <x:c r="E348" s="9"/>
      <x:c r="F348" s="11" t="str">
        <x:v>https://www.bashinkom.ru/products/ojz/DRENAZHKERAMZITOVYYkrupnyy2l</x:v>
      </x:c>
    </x:row>
    <x:row r="349" ht="62" customHeight="1">
      <x:c r="A349" s="9" t="str">
        <x:v>G36</x:v>
      </x:c>
      <x:c r="B349" s="9" t="str">
        <x:v>P0639</x:v>
      </x:c>
      <x:c r="C349" s="9" t="str">
        <x:v>БашИнком</x:v>
      </x:c>
      <x:c r="D349" s="9" t="str">
        <x:v>Дренаж Керамзитовый средний</x:v>
      </x:c>
      <x:c r="E349" s="9"/>
      <x:c r="F349" s="11" t="str">
        <x:v>https://www.bashinkom.ru/products/ojz/DrenazhKeramzitovyysredniy1l</x:v>
      </x:c>
    </x:row>
    <x:row r="350" ht="62" customHeight="1">
      <x:c r="A350" s="9" t="str">
        <x:v>G36</x:v>
      </x:c>
      <x:c r="B350" s="9" t="str">
        <x:v>P0672</x:v>
      </x:c>
      <x:c r="C350" s="9" t="str">
        <x:v>БашИнком</x:v>
      </x:c>
      <x:c r="D350" s="9" t="str">
        <x:v>Мульча–Разрыхлитель Земля–Матушка черноземная</x:v>
      </x:c>
      <x:c r="E350" s="9"/>
      <x:c r="F350" s="11" t="str">
        <x:v>https://www.bashinkom.ru/products/ojz/MULCHARAZRYKHLITELZemlyaMatushkachernozemnaya10l</x:v>
      </x:c>
    </x:row>
    <x:row r="351" ht="62" customHeight="1">
      <x:c r="A351" s="9" t="str">
        <x:v>G36</x:v>
      </x:c>
      <x:c r="B351" s="9" t="str">
        <x:v>P0692</x:v>
      </x:c>
      <x:c r="C351" s="9" t="str">
        <x:v>БашИнком</x:v>
      </x:c>
      <x:c r="D351" s="9" t="str">
        <x:v>ПухоВитА разрыхлитель оздоравливающий</x:v>
      </x:c>
      <x:c r="E351" s="9"/>
      <x:c r="F351" s="11" t="str">
        <x:v>https://www.bashinkom.ru/products/ojz/RazrykhlitelozdoravlivayushchiyPukhoVitA5l</x:v>
      </x:c>
    </x:row>
    <x:row r="352" ht="62" customHeight="1">
      <x:c r="A352" s="9" t="str">
        <x:v>G36</x:v>
      </x:c>
      <x:c r="B352" s="9" t="str">
        <x:v>P0709</x:v>
      </x:c>
      <x:c r="C352" s="9" t="str">
        <x:v>БашИнком</x:v>
      </x:c>
      <x:c r="D352" s="9" t="str">
        <x:v>Теплород-Плодород</x:v>
      </x:c>
      <x:c r="E352" s="9"/>
      <x:c r="F352" s="11" t="str">
        <x:v>https://www.bashinkom.ru/products/ojz/TeplorodPlodorod1kg</x:v>
      </x:c>
    </x:row>
    <x:row r="353" ht="62" customHeight="1">
      <x:c r="A353" s="9" t="str">
        <x:v>G37</x:v>
      </x:c>
      <x:c r="B353" s="9" t="str">
        <x:v>P0300</x:v>
      </x:c>
      <x:c r="C353" s="9" t="str">
        <x:v>Органик Микс</x:v>
      </x:c>
      <x:c r="D353" s="9" t="str">
        <x:v>Грунт для домашнего огорода</x:v>
      </x:c>
      <x:c r="E353" s="9"/>
      <x:c r="F353" s="11" t="str">
        <x:v>https://organic-mix.ru/catalog/grunt-dlya-domashnego-ogoroda-40-l-organik-miks/</x:v>
      </x:c>
    </x:row>
    <x:row r="354" ht="62" customHeight="1">
      <x:c r="A354" s="9" t="str">
        <x:v>G37</x:v>
      </x:c>
      <x:c r="B354" s="9" t="str">
        <x:v>P0301</x:v>
      </x:c>
      <x:c r="C354" s="9" t="str">
        <x:v>Органик Микс</x:v>
      </x:c>
      <x:c r="D354" s="9" t="str">
        <x:v>Грунт для рассады</x:v>
      </x:c>
      <x:c r="E354" s="9"/>
      <x:c r="F354" s="11" t="str">
        <x:v>https://organic-mix.ru/catalog/grunt-dlya-rassady-40-l-organik-miks/</x:v>
      </x:c>
    </x:row>
    <x:row r="355" ht="62" customHeight="1">
      <x:c r="A355" s="9" t="str">
        <x:v>G37</x:v>
      </x:c>
      <x:c r="B355" s="9" t="str">
        <x:v>P0302</x:v>
      </x:c>
      <x:c r="C355" s="9" t="str">
        <x:v>Органик Микс</x:v>
      </x:c>
      <x:c r="D355" s="9" t="str">
        <x:v>Грунт для семян и черенков</x:v>
      </x:c>
      <x:c r="E355" s="9"/>
      <x:c r="F355" s="11" t="str">
        <x:v>https://organic-mix.ru/catalog/grunt-dlya-semyan-i-cherenkov-4l/</x:v>
      </x:c>
    </x:row>
    <x:row r="356" ht="62" customHeight="1">
      <x:c r="A356" s="9" t="str">
        <x:v>G37</x:v>
      </x:c>
      <x:c r="B356" s="9" t="str">
        <x:v>P0641</x:v>
      </x:c>
      <x:c r="C356" s="9" t="str">
        <x:v>БашИнком</x:v>
      </x:c>
      <x:c r="D356" s="9" t="str">
        <x:v>Земля-Матушка для Бобовых</x:v>
      </x:c>
      <x:c r="E356" s="9"/>
      <x:c r="F356" s="11" t="str">
        <x:v>https://www.bashinkom.ru/products/ojz/ZemlyaMatushkadlyaBobovykh3l</x:v>
      </x:c>
    </x:row>
    <x:row r="357" ht="62" customHeight="1">
      <x:c r="A357" s="9" t="str">
        <x:v>G37</x:v>
      </x:c>
      <x:c r="B357" s="9" t="str">
        <x:v>P0642</x:v>
      </x:c>
      <x:c r="C357" s="9" t="str">
        <x:v>БашИнком</x:v>
      </x:c>
      <x:c r="D357" s="9" t="str">
        <x:v>Земля-Матушка СуперЭлита</x:v>
      </x:c>
      <x:c r="E357" s="9"/>
      <x:c r="F357" s="11" t="str">
        <x:v>https://www.bashinkom.ru/products/ojz/SuperElita</x:v>
      </x:c>
    </x:row>
    <x:row r="358" ht="62" customHeight="1">
      <x:c r="A358" s="9" t="str">
        <x:v>G37</x:v>
      </x:c>
      <x:c r="B358" s="9" t="str">
        <x:v>P0643</x:v>
      </x:c>
      <x:c r="C358" s="9" t="str">
        <x:v>БашИнком</x:v>
      </x:c>
      <x:c r="D358" s="9" t="str">
        <x:v>Земля–Матушка Универсальная для рассады, зелени и цветов</x:v>
      </x:c>
      <x:c r="E358" s="9"/>
      <x:c r="F358" s="11" t="str">
        <x:v>https://www.bashinkom.ru/products/ojz/ZemlyaMatushkaUniversalnayadlyarassadyzeleniitsvetov3l</x:v>
      </x:c>
    </x:row>
    <x:row r="359" ht="62" customHeight="1">
      <x:c r="A359" s="9" t="str">
        <x:v>G37</x:v>
      </x:c>
      <x:c r="B359" s="9" t="str">
        <x:v>P0644</x:v>
      </x:c>
      <x:c r="C359" s="9" t="str">
        <x:v>БашИнком</x:v>
      </x:c>
      <x:c r="D359" s="9" t="str">
        <x:v>Земля–Матушка Цветочная–Универсальная</x:v>
      </x:c>
      <x:c r="E359" s="9"/>
      <x:c r="F359" s="11" t="str">
        <x:v>https://www.bashinkom.ru/products/ojz/ZemlyaMatushkaTSvetochnayaUniversalnaya3l</x:v>
      </x:c>
    </x:row>
    <x:row r="360" ht="62" customHeight="1">
      <x:c r="A360" s="9" t="str">
        <x:v>G37</x:v>
      </x:c>
      <x:c r="B360" s="9" t="str">
        <x:v>P0645</x:v>
      </x:c>
      <x:c r="C360" s="9" t="str">
        <x:v>БашИнком</x:v>
      </x:c>
      <x:c r="D360" s="9" t="str">
        <x:v>Кактус–Алоэ Земля–Матушка для кактусов, алоэ, каланхоэ, агавы</x:v>
      </x:c>
      <x:c r="E360" s="9"/>
      <x:c r="F360" s="11" t="str">
        <x:v>https://www.bashinkom.ru/products/ojz/KaktusAloeZemlyaMatushkadlyakaktusovaloekalankhoeagavy3l</x:v>
      </x:c>
    </x:row>
    <x:row r="361" ht="62" customHeight="1">
      <x:c r="A361" s="9" t="str">
        <x:v>G37</x:v>
      </x:c>
      <x:c r="B361" s="9" t="str">
        <x:v>P0667</x:v>
      </x:c>
      <x:c r="C361" s="9" t="str">
        <x:v>БашИнком</x:v>
      </x:c>
      <x:c r="D361" s="9" t="str">
        <x:v>Лианы Земля–Матушка для алоказии, аралии, монстеры, диффебахии, сингониума</x:v>
      </x:c>
      <x:c r="E361" s="9"/>
      <x:c r="F361" s="11" t="str">
        <x:v>https://www.bashinkom.ru/products/ojz/LianyZemlyaMatushkadlyaalokaziiaraliimonsterydiffebakhiisingoniuma3l</x:v>
      </x:c>
    </x:row>
    <x:row r="362" ht="62" customHeight="1">
      <x:c r="A362" s="9" t="str">
        <x:v>G37</x:v>
      </x:c>
      <x:c r="B362" s="9" t="str">
        <x:v>P0668</x:v>
      </x:c>
      <x:c r="C362" s="9" t="str">
        <x:v>БашИнком</x:v>
      </x:c>
      <x:c r="D362" s="9" t="str">
        <x:v>Лимон-Мандарин Земля–Матушка для лимона, мандарина, жасмина, инжира, кофе</x:v>
      </x:c>
      <x:c r="E362" s="9"/>
      <x:c r="F362" s="11" t="str">
        <x:v>https://www.bashinkom.ru/products/ojz/LimonMandarinZemlyaMatushkadlyalimonamandarinazhasminainzhirakofe3l</x:v>
      </x:c>
    </x:row>
    <x:row r="363" ht="62" customHeight="1">
      <x:c r="A363" s="9" t="str">
        <x:v>G37</x:v>
      </x:c>
      <x:c r="B363" s="9" t="str">
        <x:v>P0672</x:v>
      </x:c>
      <x:c r="C363" s="9" t="str">
        <x:v>БашИнком</x:v>
      </x:c>
      <x:c r="D363" s="9" t="str">
        <x:v>Мульча–Разрыхлитель Земля–Матушка черноземная</x:v>
      </x:c>
      <x:c r="E363" s="9"/>
      <x:c r="F363" s="11" t="str">
        <x:v>https://www.bashinkom.ru/products/ojz/MULCHARAZRYKHLITELZemlyaMatushkachernozemnaya10l</x:v>
      </x:c>
    </x:row>
    <x:row r="364" ht="62" customHeight="1">
      <x:c r="A364" s="9" t="str">
        <x:v>G37</x:v>
      </x:c>
      <x:c r="B364" s="9" t="str">
        <x:v>P0703</x:v>
      </x:c>
      <x:c r="C364" s="9" t="str">
        <x:v>БашИнком</x:v>
      </x:c>
      <x:c r="D364" s="9" t="str">
        <x:v>Субстрат с кормилицей для выращивания растений "Страна Аркадия" для бромелиевых</x:v>
      </x:c>
      <x:c r="E364" s="9"/>
      <x:c r="F364" s="11" t="str">
        <x:v>https://www.bashinkom.ru/products/ojz/MIKORIZIROVANNYYSUBSTRATDLYAVYRASHCHIVANIYARASTENIYSTRANAARKADIYADLYABROMELIEVYKH</x:v>
      </x:c>
    </x:row>
    <x:row r="365" ht="62" customHeight="1">
      <x:c r="A365" s="9" t="str">
        <x:v>G37</x:v>
      </x:c>
      <x:c r="B365" s="9" t="str">
        <x:v>P0704</x:v>
      </x:c>
      <x:c r="C365" s="9" t="str">
        <x:v>БашИнком</x:v>
      </x:c>
      <x:c r="D365" s="9" t="str">
        <x:v>Субстрат с кормилицей для выращивания растений "Страна Аркадия" для орхидей</x:v>
      </x:c>
      <x:c r="E365" s="9"/>
      <x:c r="F365" s="11" t="str">
        <x:v>https://www.bashinkom.ru/products/ojz/MikrorizirovannyysubstratdlyavyrashchivaniyarasteniyStranaArkadidlyaorkhidey</x:v>
      </x:c>
    </x:row>
    <x:row r="366" ht="62" customHeight="1">
      <x:c r="A366" s="9" t="str">
        <x:v>G37</x:v>
      </x:c>
      <x:c r="B366" s="9" t="str">
        <x:v>P0705</x:v>
      </x:c>
      <x:c r="C366" s="9" t="str">
        <x:v>БашИнком</x:v>
      </x:c>
      <x:c r="D366" s="9" t="str">
        <x:v>Субстрат с кормилицей для выращивания растений "Страна Аркадия" для папоротников</x:v>
      </x:c>
      <x:c r="E366" s="9"/>
      <x:c r="F366" s="11" t="str">
        <x:v>https://www.bashinkom.ru/products/ojz/MikorizirovannyysubstratdlyavyrashchivaniyarasteniyStranaArkadiyadlyapaporotnikov</x:v>
      </x:c>
    </x:row>
    <x:row r="367" ht="62" customHeight="1">
      <x:c r="A367" s="9" t="str">
        <x:v>G37</x:v>
      </x:c>
      <x:c r="B367" s="9" t="str">
        <x:v>P0706</x:v>
      </x:c>
      <x:c r="C367" s="9" t="str">
        <x:v>БашИнком</x:v>
      </x:c>
      <x:c r="D367" s="9" t="str">
        <x:v>Субстрат с кормилицей для выращивания растений "Страна Аркадия" для эпифитных кактусов</x:v>
      </x:c>
      <x:c r="E367" s="9"/>
      <x:c r="F367" s="11" t="str">
        <x:v>https://www.bashinkom.ru/products/ojz/MikorizirovannyysubstratdlyavyrashchivaniyarasteniyStranaArkadiya</x:v>
      </x:c>
    </x:row>
    <x:row r="368" ht="62" customHeight="1">
      <x:c r="A368" s="9" t="str">
        <x:v>G37</x:v>
      </x:c>
      <x:c r="B368" s="9" t="str">
        <x:v>P0707</x:v>
      </x:c>
      <x:c r="C368" s="9" t="str">
        <x:v>БашИнком</x:v>
      </x:c>
      <x:c r="D368" s="9" t="str">
        <x:v>Субстрат с кормилицей для выращивания растений "Страна Аркадия"для сенполий</x:v>
      </x:c>
      <x:c r="E368" s="9"/>
      <x:c r="F368" s="11" t="str">
        <x:v>https://www.bashinkom.ru/products/ojz/MikorizirovannyysubstratdlyavyrashchivaniyarasteniyStranaArkadiyadlyasenpoliy</x:v>
      </x:c>
    </x:row>
    <x:row r="369" ht="62" customHeight="1">
      <x:c r="A369" s="9" t="str">
        <x:v>G37</x:v>
      </x:c>
      <x:c r="B369" s="9" t="str">
        <x:v>P0720</x:v>
      </x:c>
      <x:c r="C369" s="9" t="str">
        <x:v>БашИнком</x:v>
      </x:c>
      <x:c r="D369" s="9" t="str">
        <x:v>Фиалка–Герань Земля–Матушка для фиалки, герани, глоксинии, фуксии, гиацинта</x:v>
      </x:c>
      <x:c r="E369" s="9"/>
      <x:c r="F369" s="11" t="str">
        <x:v>https://www.bashinkom.ru/products/ojz/FialkaGeranZemlyaMatushkadlyafialkigeranigloksiniifuksiigiatsinta3l</x:v>
      </x:c>
    </x:row>
    <x:row r="370" ht="62" customHeight="1">
      <x:c r="A370" s="9" t="str">
        <x:v>G37</x:v>
      </x:c>
      <x:c r="B370" s="9" t="str">
        <x:v>P0721</x:v>
      </x:c>
      <x:c r="C370" s="9" t="str">
        <x:v>БашИнком</x:v>
      </x:c>
      <x:c r="D370" s="9" t="str">
        <x:v>Фикус-Пальма Земля–Матушка для фикусов, драцены, аралии, хавеи</x:v>
      </x:c>
      <x:c r="E370" s="9"/>
      <x:c r="F370" s="11" t="str">
        <x:v>https://www.bashinkom.ru/products/ojz/FikusPalmaZemlyaMatushkadlyafikusovdratsenyaraliikhavei3l</x:v>
      </x:c>
    </x:row>
    <x:row r="371" ht="62" customHeight="1">
      <x:c r="A371" s="9" t="str">
        <x:v>G38</x:v>
      </x:c>
      <x:c r="B371" s="9" t="str">
        <x:v>P0098</x:v>
      </x:c>
      <x:c r="C371" s="9" t="str">
        <x:v>Био-комплекс</x:v>
      </x:c>
      <x:c r="D371" s="9" t="str">
        <x:v>БИО-комплекс Стимулятор ЦВЕТЕНИЯ и ПЛОДОНОШЕНИЯ, ТМ МАГ</x:v>
      </x:c>
      <x:c r="E371" s="9"/>
      <x:c r="F371" s="11" t="str">
        <x:v>https://bio-kompleks.ru/catalog/vsya_produktsiya/bio_kompleks_stimulyator_tsveteniya_i_plodonosheniya_tm_mag_46g_16/</x:v>
      </x:c>
    </x:row>
    <x:row r="372" ht="62" customHeight="1">
      <x:c r="A372" s="9" t="str">
        <x:v>G38</x:v>
      </x:c>
      <x:c r="B372" s="9" t="str">
        <x:v>P0180</x:v>
      </x:c>
      <x:c r="C372" s="9" t="str">
        <x:v>Био-комплекс</x:v>
      </x:c>
      <x:c r="D372" s="9" t="str">
        <x:v>Гиббера, ВР стимулятор плодообразования</x:v>
      </x:c>
      <x:c r="E372" s="9"/>
      <x:c r="F372" s="11" t="str">
        <x:v>https://bio-kompleks.ru/catalog/vsya_produktsiya/gibbera_vr_stimulyator_plodoobrazovaniya/</x:v>
      </x:c>
    </x:row>
    <x:row r="373" ht="62" customHeight="1">
      <x:c r="A373" s="9" t="str">
        <x:v>G38</x:v>
      </x:c>
      <x:c r="B373" s="9" t="str">
        <x:v>P0237</x:v>
      </x:c>
      <x:c r="C373" s="9" t="str">
        <x:v>Био-комплекс</x:v>
      </x:c>
      <x:c r="D373" s="9" t="str">
        <x:v>Эмистим, Р стимулятор завязей, иммунитета</x:v>
      </x:c>
      <x:c r="E373" s="9"/>
      <x:c r="F373" s="11" t="str">
        <x:v>https://bio-kompleks.ru/catalog/vsya_produktsiya/emistim_r_stimulyator_zavyazey_immuniteta/</x:v>
      </x:c>
    </x:row>
    <x:row r="374" ht="62" customHeight="1">
      <x:c r="A374" s="9" t="str">
        <x:v>G38</x:v>
      </x:c>
      <x:c r="B374" s="9" t="str">
        <x:v>P0587</x:v>
      </x:c>
      <x:c r="C374" s="9" t="str">
        <x:v>БашИнком</x:v>
      </x:c>
      <x:c r="D374" s="9" t="str">
        <x:v>Борогум</x:v>
      </x:c>
      <x:c r="E374" s="9"/>
      <x:c r="F374" s="11" t="str">
        <x:v>https://www.bashinkom.ru/products/avz/BorogumB11ME</x:v>
      </x:c>
    </x:row>
    <x:row r="375" ht="62" customHeight="1">
      <x:c r="A375" s="9" t="str">
        <x:v>G38</x:v>
      </x:c>
      <x:c r="B375" s="9" t="str">
        <x:v>P0588</x:v>
      </x:c>
      <x:c r="C375" s="9" t="str">
        <x:v>БашИнком</x:v>
      </x:c>
      <x:c r="D375" s="9" t="str">
        <x:v>Борогум Экстра марка Cu-Zn</x:v>
      </x:c>
      <x:c r="E375" s="9"/>
      <x:c r="F375" s="11" t="str">
        <x:v>https://www.bashinkom.ru/products/avz/BorogumMMednoTSinkovyy</x:v>
      </x:c>
    </x:row>
    <x:row r="376" ht="62" customHeight="1">
      <x:c r="A376" s="9" t="str">
        <x:v>G38</x:v>
      </x:c>
      <x:c r="B376" s="9" t="str">
        <x:v>P0589</x:v>
      </x:c>
      <x:c r="C376" s="9" t="str">
        <x:v>БашИнком</x:v>
      </x:c>
      <x:c r="D376" s="9" t="str">
        <x:v>Борогум Экстра марка Комплексный</x:v>
      </x:c>
      <x:c r="E376" s="9"/>
      <x:c r="F376" s="11" t="str">
        <x:v>https://www.bashinkom.ru/products/avz/BorogumMKompleksnyy</x:v>
      </x:c>
    </x:row>
    <x:row r="377" ht="62" customHeight="1">
      <x:c r="A377" s="9" t="str">
        <x:v>G38</x:v>
      </x:c>
      <x:c r="B377" s="9" t="str">
        <x:v>P0590</x:v>
      </x:c>
      <x:c r="C377" s="9" t="str">
        <x:v>БашИнком</x:v>
      </x:c>
      <x:c r="D377" s="9" t="str">
        <x:v>Борогум Экстра марка Мо</x:v>
      </x:c>
      <x:c r="E377" s="9"/>
      <x:c r="F377" s="11" t="str">
        <x:v>https://www.bashinkom.ru/products/avz/BorogumMMolibdenovyy</x:v>
      </x:c>
    </x:row>
    <x:row r="378" ht="62" customHeight="1">
      <x:c r="A378" s="9" t="str">
        <x:v>G38</x:v>
      </x:c>
      <x:c r="B378" s="9" t="str">
        <x:v>P0591</x:v>
      </x:c>
      <x:c r="C378" s="9" t="str">
        <x:v>БашИнком</x:v>
      </x:c>
      <x:c r="D378" s="9" t="str">
        <x:v>Борогум Экстра марка Мо-Мn</x:v>
      </x:c>
      <x:c r="E378" s="9"/>
      <x:c r="F378" s="11" t="str">
        <x:v>https://www.bashinkom.ru/products/avz/BorogumMMolibdenovoMargantsevyy</x:v>
      </x:c>
    </x:row>
    <x:row r="379" ht="62" customHeight="1">
      <x:c r="A379" s="9" t="str">
        <x:v>G38</x:v>
      </x:c>
      <x:c r="B379" s="9" t="str">
        <x:v>P0592</x:v>
      </x:c>
      <x:c r="C379" s="9" t="str">
        <x:v>БашИнком</x:v>
      </x:c>
      <x:c r="D379" s="9" t="str">
        <x:v>Борогум-М</x:v>
      </x:c>
      <x:c r="E379" s="9"/>
      <x:c r="F379" s="11" t="str">
        <x:v>https://www.bashinkom.ru/products/avz/BorogumM354501ME</x:v>
      </x:c>
    </x:row>
    <x:row r="380" ht="62" customHeight="1">
      <x:c r="A380" s="9" t="str">
        <x:v>G38</x:v>
      </x:c>
      <x:c r="B380" s="9" t="str">
        <x:v>P0593</x:v>
      </x:c>
      <x:c r="C380" s="9" t="str">
        <x:v>БашИнком</x:v>
      </x:c>
      <x:c r="D380" s="9" t="str">
        <x:v>Борогум–М Завязь</x:v>
      </x:c>
      <x:c r="E380" s="9"/>
      <x:c r="F380" s="11" t="str">
        <x:v>https://www.bashinkom.ru/products/ojz/BOROGUMMZavyazplodotsvetokorneobrazovanieotpustotsvetovBorGumiNPK11mikroelementov02l</x:v>
      </x:c>
    </x:row>
    <x:row r="381" ht="62" customHeight="1">
      <x:c r="A381" s="9" t="str">
        <x:v>G39</x:v>
      </x:c>
      <x:c r="B381" s="9" t="str">
        <x:v>P0066</x:v>
      </x:c>
      <x:c r="C381" s="9" t="str">
        <x:v>Био-комплекс</x:v>
      </x:c>
      <x:c r="D381" s="9" t="str">
        <x:v>БИО-комплекс БиоГумус</x:v>
      </x:c>
      <x:c r="E381" s="9"/>
      <x:c r="F381" s="11" t="str">
        <x:v>https://bio-kompleks.ru/catalog/vsya_produktsiya/bio_kompleks_biogumus/</x:v>
      </x:c>
    </x:row>
    <x:row r="382" ht="62" customHeight="1">
      <x:c r="A382" s="9" t="str">
        <x:v>G39</x:v>
      </x:c>
      <x:c r="B382" s="9" t="str">
        <x:v>P0068</x:v>
      </x:c>
      <x:c r="C382" s="9" t="str">
        <x:v>Био-комплекс</x:v>
      </x:c>
      <x:c r="D382" s="9" t="str">
        <x:v>БИО-комплекс Гумат Калия</x:v>
      </x:c>
      <x:c r="E382" s="9"/>
      <x:c r="F382" s="11" t="str">
        <x:v>https://bio-kompleks.ru/catalog/vsya_produktsiya/bio_kompleks_gumat_kaliya_/</x:v>
      </x:c>
    </x:row>
    <x:row r="383" ht="62" customHeight="1">
      <x:c r="A383" s="9" t="str">
        <x:v>G39</x:v>
      </x:c>
      <x:c r="B383" s="9" t="str">
        <x:v>P0181</x:v>
      </x:c>
      <x:c r="C383" s="9" t="str">
        <x:v>Био-комплекс</x:v>
      </x:c>
      <x:c r="D383" s="9" t="str">
        <x:v>Гумат калия "СУФЛЕР", удобрение для овощных</x:v>
      </x:c>
      <x:c r="E383" s="9"/>
      <x:c r="F383" s="11" t="str">
        <x:v>https://bio-kompleks.ru/catalog/vsya_produktsiya/gumat_kaliya_sufler_udobrenie_dlya_ovoshchnykh_fl_500_ml/</x:v>
      </x:c>
    </x:row>
    <x:row r="384" ht="62" customHeight="1">
      <x:c r="A384" s="9" t="str">
        <x:v>G39</x:v>
      </x:c>
      <x:c r="B384" s="9" t="str">
        <x:v>P0182</x:v>
      </x:c>
      <x:c r="C384" s="9" t="str">
        <x:v>Био-комплекс</x:v>
      </x:c>
      <x:c r="D384" s="9" t="str">
        <x:v>Гумат калия "СУФЛЕР", удобрение для плодово-ягодных</x:v>
      </x:c>
      <x:c r="E384" s="9"/>
      <x:c r="F384" s="11" t="str">
        <x:v>https://bio-kompleks.ru/catalog/vsya_produktsiya/gumat_kaliya_sufler_udobrenie_dlya_plodovo_yagodnykh_fl_500_ml/</x:v>
      </x:c>
    </x:row>
    <x:row r="385" ht="62" customHeight="1">
      <x:c r="A385" s="9" t="str">
        <x:v>G39</x:v>
      </x:c>
      <x:c r="B385" s="9" t="str">
        <x:v>P0183</x:v>
      </x:c>
      <x:c r="C385" s="9" t="str">
        <x:v>Био-комплекс</x:v>
      </x:c>
      <x:c r="D385" s="9" t="str">
        <x:v>Гумат калия "СУФЛЕР", удобрение для цветочно-декор</x:v>
      </x:c>
      <x:c r="E385" s="9"/>
      <x:c r="F385" s="11" t="str">
        <x:v>https://bio-kompleks.ru/catalog/vsya_produktsiya/gumat_kaliya_sufler_udobrenie_dlya_tsvetochno_dekor_fl_500_ml/</x:v>
      </x:c>
    </x:row>
    <x:row r="386" ht="62" customHeight="1">
      <x:c r="A386" s="9" t="str">
        <x:v>G39</x:v>
      </x:c>
      <x:c r="B386" s="9" t="str">
        <x:v>P0252</x:v>
      </x:c>
      <x:c r="C386" s="9" t="str">
        <x:v>5сезонов</x:v>
      </x:c>
      <x:c r="D386" s="9" t="str">
        <x:v>MAXI Гумус</x:v>
      </x:c>
      <x:c r="E386" s="9"/>
      <x:c r="F386" s="11" t="str">
        <x:v>https://5-sezonov.ru/</x:v>
      </x:c>
    </x:row>
    <x:row r="387" ht="62" customHeight="1">
      <x:c r="A387" s="9" t="str">
        <x:v>G39</x:v>
      </x:c>
      <x:c r="B387" s="9" t="str">
        <x:v>P0253</x:v>
      </x:c>
      <x:c r="C387" s="9" t="str">
        <x:v>5сезонов</x:v>
      </x:c>
      <x:c r="D387" s="9" t="str">
        <x:v>MAXI Корень</x:v>
      </x:c>
      <x:c r="E387" s="9"/>
      <x:c r="F387" s="11" t="str">
        <x:v>https://5-sezonov.ru/</x:v>
      </x:c>
    </x:row>
    <x:row r="388" ht="62" customHeight="1">
      <x:c r="A388" s="9" t="str">
        <x:v>G39</x:v>
      </x:c>
      <x:c r="B388" s="9" t="str">
        <x:v>P0254</x:v>
      </x:c>
      <x:c r="C388" s="9" t="str">
        <x:v>5сезонов</x:v>
      </x:c>
      <x:c r="D388" s="9" t="str">
        <x:v>MAXI Плодородие</x:v>
      </x:c>
      <x:c r="E388" s="9"/>
      <x:c r="F388" s="11" t="str">
        <x:v>https://5-sezonov.ru/</x:v>
      </x:c>
    </x:row>
    <x:row r="389" ht="62" customHeight="1">
      <x:c r="A389" s="9" t="str">
        <x:v>G39</x:v>
      </x:c>
      <x:c r="B389" s="9" t="str">
        <x:v>P0597</x:v>
      </x:c>
      <x:c r="C389" s="9" t="str">
        <x:v>БашИнком</x:v>
      </x:c>
      <x:c r="D389" s="9" t="str">
        <x:v>ГУМИ-20 Натриевый NPK 1:1,5:1</x:v>
      </x:c>
      <x:c r="E389" s="9"/>
      <x:c r="F389" s="11" t="str">
        <x:v>https://www.bashinkom.ru/products/avz/GUMI20NPK1151</x:v>
      </x:c>
    </x:row>
    <x:row r="390" ht="62" customHeight="1">
      <x:c r="A390" s="9" t="str">
        <x:v>G39</x:v>
      </x:c>
      <x:c r="B390" s="9" t="str">
        <x:v>P0598</x:v>
      </x:c>
      <x:c r="C390" s="9" t="str">
        <x:v>БашИнком</x:v>
      </x:c>
      <x:c r="D390" s="9" t="str">
        <x:v>ГУМИ–20 Универсальный</x:v>
      </x:c>
      <x:c r="E390" s="9"/>
      <x:c r="F390" s="11" t="str">
        <x:v>https://www.bashinkom.ru/products/ojz/GUMI20Universalnyy02l</x:v>
      </x:c>
    </x:row>
    <x:row r="391" ht="62" customHeight="1">
      <x:c r="A391" s="9" t="str">
        <x:v>G39</x:v>
      </x:c>
      <x:c r="B391" s="9" t="str">
        <x:v>P0599</x:v>
      </x:c>
      <x:c r="C391" s="9" t="str">
        <x:v>БашИнком</x:v>
      </x:c>
      <x:c r="D391" s="9" t="str">
        <x:v>ГУМИ–20 Цветы</x:v>
      </x:c>
      <x:c r="E391" s="9"/>
      <x:c r="F391" s="11" t="str">
        <x:v>https://www.bashinkom.ru/products/ojz/GUMI20TSVETY125ml</x:v>
      </x:c>
    </x:row>
    <x:row r="392" ht="62" customHeight="1">
      <x:c r="A392" s="9" t="str">
        <x:v>G39</x:v>
      </x:c>
      <x:c r="B392" s="9" t="str">
        <x:v>P0600</x:v>
      </x:c>
      <x:c r="C392" s="9" t="str">
        <x:v>БашИнком</x:v>
      </x:c>
      <x:c r="D392" s="9" t="str">
        <x:v>ГУМИ-20М Натриевый NPK 1:1,5:1 + МЭ</x:v>
      </x:c>
      <x:c r="E392" s="9"/>
      <x:c r="F392" s="11" t="str">
        <x:v>https://www.bashinkom.ru/products/avz/GUMI20MNPK1151ME</x:v>
      </x:c>
    </x:row>
    <x:row r="393" ht="62" customHeight="1">
      <x:c r="A393" s="9" t="str">
        <x:v>G39</x:v>
      </x:c>
      <x:c r="B393" s="9" t="str">
        <x:v>P0601</x:v>
      </x:c>
      <x:c r="C393" s="9" t="str">
        <x:v>БашИнком</x:v>
      </x:c>
      <x:c r="D393" s="9" t="str">
        <x:v>ГУМИ–30 Супер–универсал быстрорастворимый</x:v>
      </x:c>
      <x:c r="E393" s="9"/>
      <x:c r="F393" s="11" t="str">
        <x:v>https://www.bashinkom.ru/products/ojz/GUMI30Superuniversalbystrorastvorimyy100g</x:v>
      </x:c>
    </x:row>
    <x:row r="394" ht="62" customHeight="1">
      <x:c r="A394" s="9" t="str">
        <x:v>G39</x:v>
      </x:c>
      <x:c r="B394" s="9" t="str">
        <x:v>P0602</x:v>
      </x:c>
      <x:c r="C394" s="9" t="str">
        <x:v>БашИнком</x:v>
      </x:c>
      <x:c r="D394" s="9" t="str">
        <x:v>Гуми–30 Универсал</x:v>
      </x:c>
      <x:c r="E394" s="9"/>
      <x:c r="F394" s="11" t="str">
        <x:v>https://www.bashinkom.ru/products/ojz/Gumi30Universal300g</x:v>
      </x:c>
    </x:row>
    <x:row r="395" ht="62" customHeight="1">
      <x:c r="A395" s="9" t="str">
        <x:v>G39</x:v>
      </x:c>
      <x:c r="B395" s="9" t="str">
        <x:v>P0603</x:v>
      </x:c>
      <x:c r="C395" s="9" t="str">
        <x:v>БашИнком</x:v>
      </x:c>
      <x:c r="D395" s="9" t="str">
        <x:v>Гуми-90 для овощей, ягод, плодов, цветов и декоративных растений</x:v>
      </x:c>
      <x:c r="E395" s="9"/>
      <x:c r="F395" s="11" t="str">
        <x:v>https://www.bashinkom.ru/products/ojz/Gumi90dlyaovoshcheyyagodplodovtsvetovidekorativnykhrasteniy6g</x:v>
      </x:c>
    </x:row>
    <x:row r="396" ht="62" customHeight="1">
      <x:c r="A396" s="9" t="str">
        <x:v>G39</x:v>
      </x:c>
      <x:c r="B396" s="9" t="str">
        <x:v>P0604</x:v>
      </x:c>
      <x:c r="C396" s="9" t="str">
        <x:v>БашИнком</x:v>
      </x:c>
      <x:c r="D396" s="9" t="str">
        <x:v>ГУМИ-90 Натриевый соли гуминовых кислот</x:v>
      </x:c>
      <x:c r="E396" s="9"/>
      <x:c r="F396" s="11" t="str">
        <x:v>https://www.bashinkom.ru/products/avz/GUMI90</x:v>
      </x:c>
    </x:row>
    <x:row r="397" ht="62" customHeight="1">
      <x:c r="A397" s="9" t="str">
        <x:v>G39</x:v>
      </x:c>
      <x:c r="B397" s="9" t="str">
        <x:v>P0605</x:v>
      </x:c>
      <x:c r="C397" s="9" t="str">
        <x:v>БашИнком</x:v>
      </x:c>
      <x:c r="D397" s="9" t="str">
        <x:v>ГУМИ-90М Натриевый соли гуминовых кислот</x:v>
      </x:c>
      <x:c r="E397" s="9"/>
      <x:c r="F397" s="11" t="str">
        <x:v>https://www.bashinkom.ru/products/avz/GUMI90M</x:v>
      </x:c>
    </x:row>
    <x:row r="398" ht="62" customHeight="1">
      <x:c r="A398" s="9" t="str">
        <x:v>G39</x:v>
      </x:c>
      <x:c r="B398" s="9" t="str">
        <x:v>P0636</x:v>
      </x:c>
      <x:c r="C398" s="9" t="str">
        <x:v>БашИнком</x:v>
      </x:c>
      <x:c r="D398" s="9" t="str">
        <x:v>Дар Плодородия – концентрат биоактивированного гумусного удобрения</x:v>
      </x:c>
      <x:c r="E398" s="9"/>
      <x:c r="F398" s="11" t="str">
        <x:v>https://www.bashinkom.ru/products/ojz/DARPLODORODIYAkontsentratbioaktivirovannogogumusnogoudobreniya05kg</x:v>
      </x:c>
    </x:row>
    <x:row r="399" ht="62" customHeight="1">
      <x:c r="A399" s="9" t="str">
        <x:v>G39</x:v>
      </x:c>
      <x:c r="B399" s="9" t="str">
        <x:v>P0664</x:v>
      </x:c>
      <x:c r="C399" s="9" t="str">
        <x:v>БашИнком</x:v>
      </x:c>
      <x:c r="D399" s="9" t="str">
        <x:v>Корнесил, Гуми-20 + МЭ</x:v>
      </x:c>
      <x:c r="E399" s="9"/>
      <x:c r="F399" s="11" t="str">
        <x:v>https://www.bashinkom.ru/products/ojz/KORNESILGumi20ME03l</x:v>
      </x:c>
    </x:row>
    <x:row r="400" ht="62" customHeight="1">
      <x:c r="A400" s="9" t="str">
        <x:v>G39</x:v>
      </x:c>
      <x:c r="B400" s="9" t="str">
        <x:v>P0675</x:v>
      </x:c>
      <x:c r="C400" s="9" t="str">
        <x:v>БашИнком</x:v>
      </x:c>
      <x:c r="D400" s="9" t="str">
        <x:v>Олимпийский Гуми-30 М, ПС (калийный)</x:v>
      </x:c>
      <x:c r="E400" s="9"/>
      <x:c r="F400" s="11" t="str">
        <x:v>https://www.bashinkom.ru/products/ojz/OLIMPIYSKIYGUMIKKaliynyyNANOGEL300g</x:v>
      </x:c>
    </x:row>
    <x:row r="401" ht="62" customHeight="1">
      <x:c r="A401" s="9" t="str">
        <x:v>G40</x:v>
      </x:c>
      <x:c r="B401" s="9" t="str">
        <x:v>P0125</x:v>
      </x:c>
      <x:c r="C401" s="9" t="str">
        <x:v>Био-комплекс</x:v>
      </x:c>
      <x:c r="D401" s="9" t="str">
        <x:v>БИО-комплекс ЭКБИ 1 для семян и корней рассады</x:v>
      </x:c>
      <x:c r="E401" s="9"/>
      <x:c r="F401" s="11" t="str">
        <x:v>https://bio-kompleks.ru/catalog/vsya_produktsiya/bio_kompleks_ekbi_1_dlya_semyan_i_korney_rassady/</x:v>
      </x:c>
    </x:row>
    <x:row r="402" ht="62" customHeight="1">
      <x:c r="A402" s="9" t="str">
        <x:v>G40</x:v>
      </x:c>
      <x:c r="B402" s="9" t="str">
        <x:v>P0177</x:v>
      </x:c>
      <x:c r="C402" s="9" t="str">
        <x:v>Био-комплекс</x:v>
      </x:c>
      <x:c r="D402" s="9" t="str">
        <x:v>Биостим Старт, стимулятор для семян и рассады</x:v>
      </x:c>
      <x:c r="E402" s="9"/>
      <x:c r="F402" s="11" t="str">
        <x:v>https://bio-kompleks.ru/catalog/vsya_produktsiya/biostim_start_stimulyator_dlya_semyan_i_rassady_fl_10_ml/</x:v>
      </x:c>
    </x:row>
    <x:row r="403" ht="62" customHeight="1">
      <x:c r="A403" s="9" t="str">
        <x:v>G40</x:v>
      </x:c>
      <x:c r="B403" s="9" t="str">
        <x:v>P0392</x:v>
      </x:c>
      <x:c r="C403" s="9" t="str">
        <x:v>Органик Микс</x:v>
      </x:c>
      <x:c r="D403" s="9" t="str">
        <x:v>ФИТОСТАРТ Органик Микс</x:v>
      </x:c>
      <x:c r="E403" s="9"/>
      <x:c r="F403" s="11" t="str">
        <x:v>https://organic-mix.ru/catalog/fitostart-0-6-gr-organik-miks/</x:v>
      </x:c>
    </x:row>
    <x:row r="404" ht="62" customHeight="1">
      <x:c r="A404" s="9" t="str">
        <x:v>G40</x:v>
      </x:c>
      <x:c r="B404" s="9" t="str">
        <x:v>P0540</x:v>
      </x:c>
      <x:c r="C404" s="9" t="str">
        <x:v>БашИнком</x:v>
      </x:c>
      <x:c r="D404" s="9" t="str">
        <x:v>Башполимик Семена (Марки А и Б)</x:v>
      </x:c>
      <x:c r="E404" s="9"/>
      <x:c r="F404" s="11" t="str">
        <x:v>https://www.bashinkom.ru/products/avz/BiopolimikKompleksnyySemena</x:v>
      </x:c>
    </x:row>
    <x:row r="405" ht="62" customHeight="1">
      <x:c r="A405" s="9" t="str">
        <x:v>G41</x:v>
      </x:c>
      <x:c r="B405" s="9" t="str">
        <x:v>P0097</x:v>
      </x:c>
      <x:c r="C405" s="9" t="str">
        <x:v>Био-комплекс</x:v>
      </x:c>
      <x:c r="D405" s="9" t="str">
        <x:v>БИО-комплекс Стимулятор РОСТА и ИММУНИТЕТА, ТМ МАГ</x:v>
      </x:c>
      <x:c r="E405" s="9"/>
      <x:c r="F405" s="11" t="str">
        <x:v>https://bio-kompleks.ru/catalog/vsya_produktsiya/bio_kompleks_stimulyator_rosta_i_immuniteta_tm_mag_50g_16/</x:v>
      </x:c>
    </x:row>
    <x:row r="406" ht="62" customHeight="1">
      <x:c r="A406" s="9" t="str">
        <x:v>G41</x:v>
      </x:c>
      <x:c r="B406" s="9" t="str">
        <x:v>P0127</x:v>
      </x:c>
      <x:c r="C406" s="9" t="str">
        <x:v>Био-комплекс</x:v>
      </x:c>
      <x:c r="D406" s="9" t="str">
        <x:v>БИО-комплекс ЭКБИ 3 для садовых, огородных и домашних растений</x:v>
      </x:c>
      <x:c r="E406" s="9"/>
      <x:c r="F406" s="11" t="str">
        <x:v>https://bio-kompleks.ru/catalog/vsya_produktsiya/bio_kompleks_ekbi_3_dlya_sadovykh_ogorodnykh_i_domashnikh_rasteniy/</x:v>
      </x:c>
    </x:row>
    <x:row r="407" ht="62" customHeight="1">
      <x:c r="A407" s="9" t="str">
        <x:v>G41</x:v>
      </x:c>
      <x:c r="B407" s="9" t="str">
        <x:v>P0128</x:v>
      </x:c>
      <x:c r="C407" s="9" t="str">
        <x:v>Био-комплекс</x:v>
      </x:c>
      <x:c r="D407" s="9" t="str">
        <x:v>БИО-комплекс ЭКБИ 4 для листвы и стволов кустарников и деревьев</x:v>
      </x:c>
      <x:c r="E407" s="9"/>
      <x:c r="F407" s="11" t="str">
        <x:v>https://bio-kompleks.ru/catalog/vsya_produktsiya/bio_kompleks_ekbi_4_dlya_listvy_i_stvolov_kustarnikov_i_derevev/</x:v>
      </x:c>
    </x:row>
    <x:row r="408" ht="62" customHeight="1">
      <x:c r="A408" s="9" t="str">
        <x:v>G41</x:v>
      </x:c>
      <x:c r="B408" s="9" t="str">
        <x:v>P0261</x:v>
      </x:c>
      <x:c r="C408" s="9" t="str">
        <x:v>Органик Микс</x:v>
      </x:c>
      <x:c r="D408" s="9" t="str">
        <x:v>Аминорост для рассады</x:v>
      </x:c>
      <x:c r="E408" s="9"/>
      <x:c r="F408" s="11" t="str">
        <x:v>https://organic-mix.ru/catalog/aminorost-banochka-dlya-rassady-120-gr-organik-miks/</x:v>
      </x:c>
    </x:row>
    <x:row r="409" ht="62" customHeight="1">
      <x:c r="A409" s="9" t="str">
        <x:v>G41</x:v>
      </x:c>
      <x:c r="B409" s="9" t="str">
        <x:v>P0344</x:v>
      </x:c>
      <x:c r="C409" s="9" t="str">
        <x:v>Органик Микс</x:v>
      </x:c>
      <x:c r="D409" s="9" t="str">
        <x:v>Органический стимулятор иммунитета БиоТонус</x:v>
      </x:c>
      <x:c r="E409" s="9"/>
      <x:c r="F409" s="11" t="str">
        <x:v>https://organic-mix.ru/catalog/biotonus-banochka-50-gr-organik-miks/</x:v>
      </x:c>
    </x:row>
    <x:row r="410" ht="62" customHeight="1">
      <x:c r="A410" s="9" t="str">
        <x:v>G41</x:v>
      </x:c>
      <x:c r="B410" s="9" t="str">
        <x:v>P0345</x:v>
      </x:c>
      <x:c r="C410" s="9" t="str">
        <x:v>Органик Микс</x:v>
      </x:c>
      <x:c r="D410" s="9" t="str">
        <x:v>Органический стимулятор роста АминоРост</x:v>
      </x:c>
      <x:c r="E410" s="9"/>
      <x:c r="F410" s="11" t="str">
        <x:v>https://organic-mix.ru/catalog/aminorost-banochka-30-gr-organik-miks/</x:v>
      </x:c>
    </x:row>
    <x:row r="411" ht="62" customHeight="1">
      <x:c r="A411" s="9" t="str">
        <x:v>G41</x:v>
      </x:c>
      <x:c r="B411" s="9" t="str">
        <x:v>P0570</x:v>
      </x:c>
      <x:c r="C411" s="9" t="str">
        <x:v>БашИнком</x:v>
      </x:c>
      <x:c r="D411" s="9" t="str">
        <x:v>Бияк АминоХит</x:v>
      </x:c>
      <x:c r="E411" s="9"/>
      <x:c r="F411" s="11" t="str">
        <x:v>https://www.bashinkom.ru/products/avz/BiyakAminoKHit</x:v>
      </x:c>
    </x:row>
    <x:row r="412" ht="62" customHeight="1">
      <x:c r="A412" s="9" t="str">
        <x:v>C01</x:v>
      </x:c>
      <x:c r="B412" s="9" t="str">
        <x:v>P0049</x:v>
      </x:c>
      <x:c r="C412" s="9" t="str">
        <x:v>Аминосил</x:v>
      </x:c>
      <x:c r="D412" s="9" t="str">
        <x:v>Витамины универсальные в форме геля</x:v>
      </x:c>
      <x:c r="E412" s="9"/>
      <x:c r="F412" s="11" t="str">
        <x:v>https://aminosil.ru/vitamini-universalnie-v-forme-gelya</x:v>
      </x:c>
    </x:row>
    <x:row r="413" ht="62" customHeight="1">
      <x:c r="A413" s="9" t="str">
        <x:v>C01</x:v>
      </x:c>
      <x:c r="B413" s="9" t="str">
        <x:v>P0050</x:v>
      </x:c>
      <x:c r="C413" s="9" t="str">
        <x:v>Аминосил</x:v>
      </x:c>
      <x:c r="D413" s="9" t="str">
        <x:v>Витамины универсальные в форме гранул</x:v>
      </x:c>
      <x:c r="E413" s="9"/>
      <x:c r="F413" s="11" t="str">
        <x:v>https://aminosil.ru/vitamini-universalnie-v-granulah</x:v>
      </x:c>
    </x:row>
    <x:row r="414" ht="62" customHeight="1">
      <x:c r="A414" s="9" t="str">
        <x:v>C01</x:v>
      </x:c>
      <x:c r="B414" s="9" t="str">
        <x:v>P0051</x:v>
      </x:c>
      <x:c r="C414" s="9" t="str">
        <x:v>Аминосил</x:v>
      </x:c>
      <x:c r="D414" s="9" t="str">
        <x:v>Витамины универсальные в форме гранул. Осень.</x:v>
      </x:c>
      <x:c r="E414" s="9"/>
      <x:c r="F414" s="11" t="str">
        <x:v>https://aminosil.ru/vitamini-universalniye-osennie-v-forme-granul</x:v>
      </x:c>
    </x:row>
    <x:row r="415" ht="62" customHeight="1">
      <x:c r="A415" s="9" t="str">
        <x:v>C01</x:v>
      </x:c>
      <x:c r="B415" s="9" t="str">
        <x:v>P0052</x:v>
      </x:c>
      <x:c r="C415" s="9" t="str">
        <x:v>Аминосил</x:v>
      </x:c>
      <x:c r="D415" s="9" t="str">
        <x:v>Витамины универсальные в форме концентрата</x:v>
      </x:c>
      <x:c r="E415" s="9"/>
      <x:c r="F415" s="11" t="str">
        <x:v>https://aminosil.ru/vitamini-universalnie-v-forme-kontsentra</x:v>
      </x:c>
    </x:row>
    <x:row r="416" ht="62" customHeight="1">
      <x:c r="A416" s="9" t="str">
        <x:v>C01</x:v>
      </x:c>
      <x:c r="B416" s="9" t="str">
        <x:v>P0053</x:v>
      </x:c>
      <x:c r="C416" s="9" t="str">
        <x:v>Аминосил</x:v>
      </x:c>
      <x:c r="D416" s="9" t="str">
        <x:v>Витамины универсальные в форме концентрата. Осень.</x:v>
      </x:c>
      <x:c r="E416" s="9"/>
      <x:c r="F416" s="11" t="str">
        <x:v>https://aminosil.ru/vitamini-universalniye-osennie-v-forme-kontsentra</x:v>
      </x:c>
    </x:row>
    <x:row r="417" ht="62" customHeight="1">
      <x:c r="A417" s="9" t="str">
        <x:v>C01</x:v>
      </x:c>
      <x:c r="B417" s="9" t="str">
        <x:v>P0062</x:v>
      </x:c>
      <x:c r="C417" s="9" t="str">
        <x:v>Аминосил</x:v>
      </x:c>
      <x:c r="D417" s="9" t="str">
        <x:v>Спрей Аминосил универсальный</x:v>
      </x:c>
      <x:c r="E417" s="9"/>
      <x:c r="F417" s="11" t="str">
        <x:v>https://aminosil.ru/sprei-aminosil-universalnii</x:v>
      </x:c>
    </x:row>
    <x:row r="418" ht="62" customHeight="1">
      <x:c r="A418" s="9" t="str">
        <x:v>C01</x:v>
      </x:c>
      <x:c r="B418" s="9" t="str">
        <x:v>P0080</x:v>
      </x:c>
      <x:c r="C418" s="9" t="str">
        <x:v>Био-комплекс</x:v>
      </x:c>
      <x:c r="D418" s="9" t="str">
        <x:v>БИО-комплекс ОМУ весна-лето универсальное, ТМ БИОША</x:v>
      </x:c>
      <x:c r="E418" s="9"/>
      <x:c r="F418" s="11" t="str">
        <x:v>https://bio-kompleks.ru/catalog/vsya_produktsiya/bio_kompleks_omu_vesna_leto_universalnoe_tm_biosha/</x:v>
      </x:c>
    </x:row>
    <x:row r="419" ht="62" customHeight="1">
      <x:c r="A419" s="9" t="str">
        <x:v>C01</x:v>
      </x:c>
      <x:c r="B419" s="9" t="str">
        <x:v>P0090</x:v>
      </x:c>
      <x:c r="C419" s="9" t="str">
        <x:v>Био-комплекс</x:v>
      </x:c>
      <x:c r="D419" s="9" t="str">
        <x:v>БИО-комплекс ОМУ осень универсальное, ТМ БИОША</x:v>
      </x:c>
      <x:c r="E419" s="9"/>
      <x:c r="F419" s="11" t="str">
        <x:v>https://bio-kompleks.ru/catalog/vsya_produktsiya/bio_kompleks_omu_osen_universalnoe_tm_biosha/</x:v>
      </x:c>
    </x:row>
    <x:row r="420" ht="62" customHeight="1">
      <x:c r="A420" s="9" t="str">
        <x:v>C01</x:v>
      </x:c>
      <x:c r="B420" s="9" t="str">
        <x:v>P0120</x:v>
      </x:c>
      <x:c r="C420" s="9" t="str">
        <x:v>Био-комплекс</x:v>
      </x:c>
      <x:c r="D420" s="9" t="str">
        <x:v>БИО-комплекс Удобрение органическое Универсальное, ТМ Удобряша</x:v>
      </x:c>
      <x:c r="E420" s="9"/>
      <x:c r="F420" s="11" t="str">
        <x:v>https://bio-kompleks.ru/catalog/vsya_produktsiya/bio_kompleks_udobrenie_organicheskoe_universalnoe_tm_udobryasha/</x:v>
      </x:c>
    </x:row>
    <x:row r="421" ht="62" customHeight="1">
      <x:c r="A421" s="9" t="str">
        <x:v>C01</x:v>
      </x:c>
      <x:c r="B421" s="9" t="str">
        <x:v>P0139</x:v>
      </x:c>
      <x:c r="C421" s="9" t="str">
        <x:v>Био-комплекс</x:v>
      </x:c>
      <x:c r="D421" s="9" t="str">
        <x:v>БИО-комплекс, ТМ Листория, Универсальное</x:v>
      </x:c>
      <x:c r="E421" s="9"/>
      <x:c r="F421" s="11" t="str">
        <x:v>https://bio-kompleks.ru/catalog/vsya_produktsiya/bio_kompleks_tm_listoriya_universalnoe_professionalnoe_mineralnoe_udobrenie_npk_19_19_19/</x:v>
      </x:c>
    </x:row>
    <x:row r="422" ht="62" customHeight="1">
      <x:c r="A422" s="9" t="str">
        <x:v>C01</x:v>
      </x:c>
      <x:c r="B422" s="9" t="str">
        <x:v>P0175</x:v>
      </x:c>
      <x:c r="C422" s="9" t="str">
        <x:v>Био-комплекс</x:v>
      </x:c>
      <x:c r="D422" s="9" t="str">
        <x:v>Биококтейль универсальный ТМ ВитаминУС</x:v>
      </x:c>
      <x:c r="E422" s="9"/>
      <x:c r="F422" s="11" t="str">
        <x:v>https://bio-kompleks.ru/catalog/vsya_produktsiya/biokokteyl_universalnyy_tm_vitaminus/</x:v>
      </x:c>
    </x:row>
    <x:row r="423" ht="62" customHeight="1">
      <x:c r="A423" s="9" t="str">
        <x:v>C01</x:v>
      </x:c>
      <x:c r="B423" s="9" t="str">
        <x:v>P0208</x:v>
      </x:c>
      <x:c r="C423" s="9" t="str">
        <x:v>Био-комплекс</x:v>
      </x:c>
      <x:c r="D423" s="9" t="str">
        <x:v>Нутривант Плюс, Универсальный NPK: 19-19-19, профессиональное комплексное удобрение</x:v>
      </x:c>
      <x:c r="E423" s="9"/>
      <x:c r="F423" s="11" t="str">
        <x:v>https://bio-kompleks.ru/catalog/vsya_produktsiya/nutrivant-plyus-universalnyy-npk-19-19-19-professionalnoe-kompleksnoe-udobrenie/</x:v>
      </x:c>
    </x:row>
    <x:row r="424" ht="62" customHeight="1">
      <x:c r="A424" s="9" t="str">
        <x:v>C01</x:v>
      </x:c>
      <x:c r="B424" s="9" t="str">
        <x:v>P0224</x:v>
      </x:c>
      <x:c r="C424" s="9" t="str">
        <x:v>Био-комплекс</x:v>
      </x:c>
      <x:c r="D424" s="9" t="str">
        <x:v>РАКЕТА, Удобрение Универсальное (колышки)</x:v>
      </x:c>
      <x:c r="E424" s="9"/>
      <x:c r="F424" s="11" t="str">
        <x:v>https://bio-kompleks.ru/catalog/vsya_produktsiya/raketa_udobrenie_universalnoe_kolyshki_420g_18/</x:v>
      </x:c>
    </x:row>
    <x:row r="425" ht="62" customHeight="1">
      <x:c r="A425" s="9" t="str">
        <x:v>C01</x:v>
      </x:c>
      <x:c r="B425" s="9" t="str">
        <x:v>P0323</x:v>
      </x:c>
      <x:c r="C425" s="9" t="str">
        <x:v>Органик Микс</x:v>
      </x:c>
      <x:c r="D425" s="9" t="str">
        <x:v>Морской коктейль (водорастворимый) Универсальный Органик Микс</x:v>
      </x:c>
      <x:c r="E425" s="9"/>
      <x:c r="F425" s="11" t="str">
        <x:v>https://organic-mix.ru/catalog/morskoy-kokteyl-vodorastvorimyy-universalnyy-600-gr-organik-miks-/</x:v>
      </x:c>
    </x:row>
    <x:row r="426" ht="62" customHeight="1">
      <x:c r="A426" s="9" t="str">
        <x:v>C01</x:v>
      </x:c>
      <x:c r="B426" s="9" t="str">
        <x:v>P0325</x:v>
      </x:c>
      <x:c r="C426" s="9" t="str">
        <x:v>Органик Микс</x:v>
      </x:c>
      <x:c r="D426" s="9" t="str">
        <x:v>МОРСКОЙ КОКТЕЙЛЬ (жидкий)</x:v>
      </x:c>
      <x:c r="E426" s="9"/>
      <x:c r="F426" s="11" t="str">
        <x:v>https://organic-mix.ru/catalog/morskoy-kokteyl-5-litrov/</x:v>
      </x:c>
    </x:row>
    <x:row r="427" ht="62" customHeight="1">
      <x:c r="A427" s="9" t="str">
        <x:v>C01</x:v>
      </x:c>
      <x:c r="B427" s="9" t="str">
        <x:v>P0389</x:v>
      </x:c>
      <x:c r="C427" s="9" t="str">
        <x:v>Органик Микс</x:v>
      </x:c>
      <x:c r="D427" s="9" t="str">
        <x:v>Удобрение универсальное</x:v>
      </x:c>
      <x:c r="E427" s="9"/>
      <x:c r="F427" s="11" t="str">
        <x:v>https://organic-mix.ru/catalog/udobrenie-universalnoe-organik-miks-850-gr/</x:v>
      </x:c>
    </x:row>
    <x:row r="428" ht="62" customHeight="1">
      <x:c r="A428" s="9" t="str">
        <x:v>C01</x:v>
      </x:c>
      <x:c r="B428" s="9" t="str">
        <x:v>P0418</x:v>
      </x:c>
      <x:c r="C428" s="9" t="str">
        <x:v>Органик Микс</x:v>
      </x:c>
      <x:c r="D428" s="9" t="str">
        <x:v>ЭЛИКСИР № 1 - Универсальный Органик Микс (NEW)</x:v>
      </x:c>
      <x:c r="E428" s="9"/>
      <x:c r="F428" s="11" t="str">
        <x:v>https://organic-mix.ru/catalog/eliksir-1-universalnyy-900-ml-new/</x:v>
      </x:c>
    </x:row>
    <x:row r="429" ht="62" customHeight="1">
      <x:c r="A429" s="9" t="str">
        <x:v>C01</x:v>
      </x:c>
      <x:c r="B429" s="9" t="str">
        <x:v>P0626</x:v>
      </x:c>
      <x:c r="C429" s="9" t="str">
        <x:v>БашИнком</x:v>
      </x:c>
      <x:c r="D429" s="9" t="str">
        <x:v>Гуми–Оми Универсал - Овощи, Ягоды, Цветы</x:v>
      </x:c>
      <x:c r="E429" s="9"/>
      <x:c r="F429" s="11" t="str">
        <x:v>https://www.bashinkom.ru/products/ojz/GumiOMIUNIVERSALOvoshchiYAgodyTSvety07kg</x:v>
      </x:c>
    </x:row>
    <x:row r="430" ht="62" customHeight="1">
      <x:c r="A430" s="9" t="str">
        <x:v>C01</x:v>
      </x:c>
      <x:c r="B430" s="9" t="str">
        <x:v>P0627</x:v>
      </x:c>
      <x:c r="C430" s="9" t="str">
        <x:v>БашИнком</x:v>
      </x:c>
      <x:c r="D430" s="9" t="str">
        <x:v>Гуми-Оми Универсальное– , ( гранулированный)</x:v>
      </x:c>
      <x:c r="E430" s="9"/>
      <x:c r="F430" s="11" t="str">
        <x:v>https://www.bashinkom.ru/products/ojz/GumiOmiUniversalnyyGranulirovannyy</x:v>
      </x:c>
    </x:row>
    <x:row r="431" ht="62" customHeight="1">
      <x:c r="A431" s="9" t="str">
        <x:v>C01</x:v>
      </x:c>
      <x:c r="B431" s="9" t="str">
        <x:v>P0632</x:v>
      </x:c>
      <x:c r="C431" s="9" t="str">
        <x:v>БашИнком</x:v>
      </x:c>
      <x:c r="D431" s="9" t="str">
        <x:v>Гуми–Оми Цветы садовые Универсал</x:v>
      </x:c>
      <x:c r="E431" s="9"/>
      <x:c r="F431" s="11" t="str">
        <x:v>https://www.bashinkom.ru/products/ojz/TSvetysadovyeUNIVERSALGumiOMI50g</x:v>
      </x:c>
    </x:row>
    <x:row r="432" ht="62" customHeight="1">
      <x:c r="A432" s="9" t="str">
        <x:v>C01</x:v>
      </x:c>
      <x:c r="B432" s="9" t="str">
        <x:v>P0646</x:v>
      </x:c>
      <x:c r="C432" s="9" t="str">
        <x:v>БашИнком</x:v>
      </x:c>
      <x:c r="D432" s="9" t="str">
        <x:v>Комплексное удобрение с зеленым хелатором БИЯК Бионекс-кеми Универсальный</x:v>
      </x:c>
      <x:c r="E432" s="9"/>
      <x:c r="F432" s="11" t="str">
        <x:v>https://www.bashinkom.ru/products/prodecor/KompleksnoeudobrenieszelenymkhelatoromBIYAKBionekskemiUniversalnyy</x:v>
      </x:c>
    </x:row>
    <x:row r="433" ht="62" customHeight="1">
      <x:c r="A433" s="9" t="str">
        <x:v>C01</x:v>
      </x:c>
      <x:c r="B433" s="9" t="str">
        <x:v>P0647</x:v>
      </x:c>
      <x:c r="C433" s="9" t="str">
        <x:v>БашИнком</x:v>
      </x:c>
      <x:c r="D433" s="9" t="str">
        <x:v>Комплексное универсальное удобрение для всех садово-огородных культур Бионекс-Кеми 18:18:18 + 1,1</x:v>
      </x:c>
      <x:c r="E433" s="9"/>
      <x:c r="F433" s="11" t="str">
        <x:v>https://www.bashinkom.ru/products/ojz/KompleksnoeuniversalnoeudobreniedlyavsekhsadovoogorodnykhkulturBioneksKemi18181811200g</x:v>
      </x:c>
    </x:row>
    <x:row r="434" ht="62" customHeight="1">
      <x:c r="A434" s="9" t="str">
        <x:v>C01</x:v>
      </x:c>
      <x:c r="B434" s="9" t="str">
        <x:v>P0648</x:v>
      </x:c>
      <x:c r="C434" s="9" t="str">
        <x:v>БашИнком</x:v>
      </x:c>
      <x:c r="D434" s="9" t="str">
        <x:v>Комплексное универсальное удобрение для комнатных растений Бионекс-Кеми водорастворимый</x:v>
      </x:c>
      <x:c r="E434" s="9"/>
      <x:c r="F434" s="11" t="str">
        <x:v>https://www.bashinkom.ru/products/ojz/KompleksnoeuniversalnoeudobreniedlyakomnatnykhrasteniyBioneksKemivodorastvorimyy50g</x:v>
      </x:c>
    </x:row>
    <x:row r="435" ht="62" customHeight="1">
      <x:c r="A435" s="9" t="str">
        <x:v>C02</x:v>
      </x:c>
      <x:c r="B435" s="9" t="str">
        <x:v>P0035</x:v>
      </x:c>
      <x:c r="C435" s="9" t="str">
        <x:v>Аминосил</x:v>
      </x:c>
      <x:c r="D435" s="9" t="str">
        <x:v>Витамины для томатов в форме концентрата</x:v>
      </x:c>
      <x:c r="E435" s="9"/>
      <x:c r="F435" s="11" t="str">
        <x:v>https://aminosil.ru/vitamini-dlya-tomatov-v-forme-kontsentrata</x:v>
      </x:c>
    </x:row>
    <x:row r="436" ht="62" customHeight="1">
      <x:c r="A436" s="9" t="str">
        <x:v>C02</x:v>
      </x:c>
      <x:c r="B436" s="9" t="str">
        <x:v>P0036</x:v>
      </x:c>
      <x:c r="C436" s="9" t="str">
        <x:v>Аминосил</x:v>
      </x:c>
      <x:c r="D436" s="9" t="str">
        <x:v>Витамины для томатов, баклажанов и перцев в гранулах</x:v>
      </x:c>
      <x:c r="E436" s="9"/>
      <x:c r="F436" s="11" t="str">
        <x:v>https://aminosil.ru/vitamini-dlya-tomatov-percev-v-granulah</x:v>
      </x:c>
    </x:row>
    <x:row r="437" ht="62" customHeight="1">
      <x:c r="A437" s="9" t="str">
        <x:v>C02</x:v>
      </x:c>
      <x:c r="B437" s="9" t="str">
        <x:v>P0088</x:v>
      </x:c>
      <x:c r="C437" s="9" t="str">
        <x:v>Био-комплекс</x:v>
      </x:c>
      <x:c r="D437" s="9" t="str">
        <x:v>БИО-комплекс ОМУ для томатов, перцев и баклажанов, ТМ БИОША</x:v>
      </x:c>
      <x:c r="E437" s="9"/>
      <x:c r="F437" s="11" t="str">
        <x:v>https://bio-kompleks.ru/catalog/vsya_produktsiya/bio_kompleks_omu_dlya_tomatov_pertsev_i_baklazhanov_tm_biosha/</x:v>
      </x:c>
    </x:row>
    <x:row r="438" ht="62" customHeight="1">
      <x:c r="A438" s="9" t="str">
        <x:v>C02</x:v>
      </x:c>
      <x:c r="B438" s="9" t="str">
        <x:v>P0115</x:v>
      </x:c>
      <x:c r="C438" s="9" t="str">
        <x:v>Био-комплекс</x:v>
      </x:c>
      <x:c r="D438" s="9" t="str">
        <x:v>БИО-комплекс Удобрение органическое для томатов, перцев и баклажанов, ТМ Удобряша</x:v>
      </x:c>
      <x:c r="E438" s="9"/>
      <x:c r="F438" s="11" t="str">
        <x:v>https://bio-kompleks.ru/catalog/vsya_produktsiya/bio_kompleks_udobrenie_organicheskoe_dlya_tomatov_pertsev_i_baklazhanov_tm_udobryasha/</x:v>
      </x:c>
    </x:row>
    <x:row r="439" ht="62" customHeight="1">
      <x:c r="A439" s="9" t="str">
        <x:v>C02</x:v>
      </x:c>
      <x:c r="B439" s="9" t="str">
        <x:v>P0138</x:v>
      </x:c>
      <x:c r="C439" s="9" t="str">
        <x:v>Био-комплекс</x:v>
      </x:c>
      <x:c r="D439" s="9" t="str">
        <x:v>БИО-комплекс, ТМ Листория, Томат</x:v>
      </x:c>
      <x:c r="E439" s="9"/>
      <x:c r="F439" s="11" t="str">
        <x:v>https://bio-kompleks.ru/catalog/vsya_produktsiya/bio_kompleks_tm_listoriya_tomat/</x:v>
      </x:c>
    </x:row>
    <x:row r="440" ht="62" customHeight="1">
      <x:c r="A440" s="9" t="str">
        <x:v>C02</x:v>
      </x:c>
      <x:c r="B440" s="9" t="str">
        <x:v>P0156</x:v>
      </x:c>
      <x:c r="C440" s="9" t="str">
        <x:v>Био-комплекс</x:v>
      </x:c>
      <x:c r="D440" s="9" t="str">
        <x:v>БИОкоктейль для комнатных помидорчиков и перчиков ТМ ВитаминУС</x:v>
      </x:c>
      <x:c r="E440" s="9"/>
      <x:c r="F440" s="11" t="str">
        <x:v>https://bio-kompleks.ru/catalog/vsya_produktsiya/biokokteyl-dlya-komnatnykh-pomidorchikov-i-perchikov-tm-vitaminus/</x:v>
      </x:c>
    </x:row>
    <x:row r="441" ht="62" customHeight="1">
      <x:c r="A441" s="9" t="str">
        <x:v>C02</x:v>
      </x:c>
      <x:c r="B441" s="9" t="str">
        <x:v>P0167</x:v>
      </x:c>
      <x:c r="C441" s="9" t="str">
        <x:v>Био-комплекс</x:v>
      </x:c>
      <x:c r="D441" s="9" t="str">
        <x:v>БИОкоктейль для томатов, перцев, баклажанов ТМ Витаминус</x:v>
      </x:c>
      <x:c r="E441" s="9"/>
      <x:c r="F441" s="11" t="str">
        <x:v>https://bio-kompleks.ru/catalog/vsya_produktsiya/biokokteyl_dlya_tomatov_pertsev_baklazhanov_tm_vitaminus/</x:v>
      </x:c>
    </x:row>
    <x:row r="442" ht="62" customHeight="1">
      <x:c r="A442" s="9" t="str">
        <x:v>C02</x:v>
      </x:c>
      <x:c r="B442" s="9" t="str">
        <x:v>P0207</x:v>
      </x:c>
      <x:c r="C442" s="9" t="str">
        <x:v>Био-комплекс</x:v>
      </x:c>
      <x:c r="D442" s="9" t="str">
        <x:v>Нутривант Плюс, Томат NPK: 6-18-37, профессиональное комплексное удобрение</x:v>
      </x:c>
      <x:c r="E442" s="9"/>
      <x:c r="F442" s="11" t="str">
        <x:v>https://bio-kompleks.ru/catalog/vsya_produktsiya/nutrivant-plyus-tomat-npk-6-18-37-professionalnoe-kompleksnoe-udobrenie/</x:v>
      </x:c>
    </x:row>
    <x:row r="443" ht="62" customHeight="1">
      <x:c r="A443" s="9" t="str">
        <x:v>C02</x:v>
      </x:c>
      <x:c r="B443" s="9" t="str">
        <x:v>P0318</x:v>
      </x:c>
      <x:c r="C443" s="9" t="str">
        <x:v>Органик Микс</x:v>
      </x:c>
      <x:c r="D443" s="9" t="str">
        <x:v>Морской коктейль (водорастворимый) для Томатов Органик Микс</x:v>
      </x:c>
      <x:c r="E443" s="9"/>
      <x:c r="F443" s="11" t="str">
        <x:v>https://organic-mix.ru/catalog/morskoy-kokteyl-vodorastvorimyy-dlya-tomatov-600-g-organik-miks/</x:v>
      </x:c>
    </x:row>
    <x:row r="444" ht="62" customHeight="1">
      <x:c r="A444" s="9" t="str">
        <x:v>C02</x:v>
      </x:c>
      <x:c r="B444" s="9" t="str">
        <x:v>P0331</x:v>
      </x:c>
      <x:c r="C444" s="9" t="str">
        <x:v>Органик Микс</x:v>
      </x:c>
      <x:c r="D444" s="9" t="str">
        <x:v>Морской коктейль (жидкий) для Томатов</x:v>
      </x:c>
      <x:c r="E444" s="9"/>
      <x:c r="F444" s="11" t="str">
        <x:v>https://organic-mix.ru/catalog/morskoy-kokteyl-zhidkiy-dlya-tomatov-5-l/</x:v>
      </x:c>
    </x:row>
    <x:row r="445" ht="62" customHeight="1">
      <x:c r="A445" s="9" t="str">
        <x:v>C02</x:v>
      </x:c>
      <x:c r="B445" s="9" t="str">
        <x:v>P0385</x:v>
      </x:c>
      <x:c r="C445" s="9" t="str">
        <x:v>Органик Микс</x:v>
      </x:c>
      <x:c r="D445" s="9" t="str">
        <x:v>Удобрение для томатов</x:v>
      </x:c>
      <x:c r="E445" s="9"/>
      <x:c r="F445" s="11" t="str">
        <x:v>https://organic-mix.ru/catalog/udobrenie-dlya-tomatov/</x:v>
      </x:c>
    </x:row>
    <x:row r="446" ht="62" customHeight="1">
      <x:c r="A446" s="9" t="str">
        <x:v>C02</x:v>
      </x:c>
      <x:c r="B446" s="9" t="str">
        <x:v>P0405</x:v>
      </x:c>
      <x:c r="C446" s="9" t="str">
        <x:v>Органик Микс</x:v>
      </x:c>
      <x:c r="D446" s="9" t="str">
        <x:v>ЭЛИКСИР № 1 - для Перцев Органик Микс (NEW)</x:v>
      </x:c>
      <x:c r="E446" s="9"/>
      <x:c r="F446" s="11" t="str">
        <x:v>https://organic-mix.ru/catalog/eliksir-1-dlya-pertsev-5-l-organik-miks-new/</x:v>
      </x:c>
    </x:row>
    <x:row r="447" ht="62" customHeight="1">
      <x:c r="A447" s="9" t="str">
        <x:v>C02</x:v>
      </x:c>
      <x:c r="B447" s="9" t="str">
        <x:v>P0411</x:v>
      </x:c>
      <x:c r="C447" s="9" t="str">
        <x:v>Органик Микс</x:v>
      </x:c>
      <x:c r="D447" s="9" t="str">
        <x:v>ЭЛИКСИР № 1 - для Томатов Органик Микс (NEW)</x:v>
      </x:c>
      <x:c r="E447" s="9"/>
      <x:c r="F447" s="11" t="str">
        <x:v>https://organic-mix.ru/catalog/eliksir-1-dlya-tomatov-900-ml-new/</x:v>
      </x:c>
    </x:row>
    <x:row r="448" ht="62" customHeight="1">
      <x:c r="A448" s="9" t="str">
        <x:v>C02</x:v>
      </x:c>
      <x:c r="B448" s="9" t="str">
        <x:v>P0625</x:v>
      </x:c>
      <x:c r="C448" s="9" t="str">
        <x:v>БашИнком</x:v>
      </x:c>
      <x:c r="D448" s="9" t="str">
        <x:v>Гуми–Оми Томат, Баклажан, Перец</x:v>
      </x:c>
      <x:c r="E448" s="9"/>
      <x:c r="F448" s="11" t="str">
        <x:v>https://www.bashinkom.ru/products/ojz/GumiOMITomatBaklazhanPerets07kg</x:v>
      </x:c>
    </x:row>
    <x:row r="449" ht="62" customHeight="1">
      <x:c r="A449" s="9" t="str">
        <x:v>C03</x:v>
      </x:c>
      <x:c r="B449" s="9" t="str">
        <x:v>P0022</x:v>
      </x:c>
      <x:c r="C449" s="9" t="str">
        <x:v>Аминосил</x:v>
      </x:c>
      <x:c r="D449" s="9" t="str">
        <x:v>Витамины для огурцов в форме концентрата</x:v>
      </x:c>
      <x:c r="E449" s="9"/>
      <x:c r="F449" s="11" t="str">
        <x:v>https://aminosil.ru/vitamini-dlya-ogurtsov-v-forme-kontsentrata</x:v>
      </x:c>
    </x:row>
    <x:row r="450" ht="62" customHeight="1">
      <x:c r="A450" s="9" t="str">
        <x:v>C03</x:v>
      </x:c>
      <x:c r="B450" s="9" t="str">
        <x:v>P0023</x:v>
      </x:c>
      <x:c r="C450" s="9" t="str">
        <x:v>Аминосил</x:v>
      </x:c>
      <x:c r="D450" s="9" t="str">
        <x:v>Витамины для огурцов, кабачков и тыквы в гранулах</x:v>
      </x:c>
      <x:c r="E450" s="9"/>
      <x:c r="F450" s="11" t="str">
        <x:v>https://aminosil.ru/vitamini-dlya-ogurtsov-kabachkov-v-granulah</x:v>
      </x:c>
    </x:row>
    <x:row r="451" ht="62" customHeight="1">
      <x:c r="A451" s="9" t="str">
        <x:v>C03</x:v>
      </x:c>
      <x:c r="B451" s="9" t="str">
        <x:v>P0085</x:v>
      </x:c>
      <x:c r="C451" s="9" t="str">
        <x:v>Био-комплекс</x:v>
      </x:c>
      <x:c r="D451" s="9" t="str">
        <x:v>БИО-комплекс ОМУ для огурцов, кабачков, арбузов и дынь, ТМ БИОША</x:v>
      </x:c>
      <x:c r="E451" s="9"/>
      <x:c r="F451" s="11" t="str">
        <x:v>https://bio-kompleks.ru/catalog/vsya_produktsiya/bio_kompleks_omu_dlya_ogurtsov_kabachkov_arbuzov_i_dyn_tm_biosha/</x:v>
      </x:c>
    </x:row>
    <x:row r="452" ht="62" customHeight="1">
      <x:c r="A452" s="9" t="str">
        <x:v>C03</x:v>
      </x:c>
      <x:c r="B452" s="9" t="str">
        <x:v>P0114</x:v>
      </x:c>
      <x:c r="C452" s="9" t="str">
        <x:v>Био-комплекс</x:v>
      </x:c>
      <x:c r="D452" s="9" t="str">
        <x:v>БИО-комплекс Удобрение органическое для огурцов и кабачков, ТМ Удобряша</x:v>
      </x:c>
      <x:c r="E452" s="9"/>
      <x:c r="F452" s="11" t="str">
        <x:v>https://bio-kompleks.ru/catalog/vsya_produktsiya/bio_kompleks_udobrenie_organicheskoe_dlya_ogurtsov_i_kabachkov_tm_udobryasha/</x:v>
      </x:c>
    </x:row>
    <x:row r="453" ht="62" customHeight="1">
      <x:c r="A453" s="9" t="str">
        <x:v>C03</x:v>
      </x:c>
      <x:c r="B453" s="9" t="str">
        <x:v>P0155</x:v>
      </x:c>
      <x:c r="C453" s="9" t="str">
        <x:v>Био-комплекс</x:v>
      </x:c>
      <x:c r="D453" s="9" t="str">
        <x:v>БИОкоктейль для комнатных огурчиков ТМ ВитаминУС</x:v>
      </x:c>
      <x:c r="E453" s="9"/>
      <x:c r="F453" s="11" t="str">
        <x:v>https://bio-kompleks.ru/catalog/vsya_produktsiya/biokokteyl-dlya-komnatnykh-ogurchikov-tm-vitaminus/</x:v>
      </x:c>
    </x:row>
    <x:row r="454" ht="62" customHeight="1">
      <x:c r="A454" s="9" t="str">
        <x:v>C03</x:v>
      </x:c>
      <x:c r="B454" s="9" t="str">
        <x:v>P0158</x:v>
      </x:c>
      <x:c r="C454" s="9" t="str">
        <x:v>Био-комплекс</x:v>
      </x:c>
      <x:c r="D454" s="9" t="str">
        <x:v>БИОкоктейль для огурцов и кабачков ТМ ВИТАМИНУС</x:v>
      </x:c>
      <x:c r="E454" s="9"/>
      <x:c r="F454" s="11" t="str">
        <x:v>https://bio-kompleks.ru/catalog/vsya_produktsiya/biokokteyl_dlya_ogurtsov_i_kabachkov_tm_vitaminus/</x:v>
      </x:c>
    </x:row>
    <x:row r="455" ht="62" customHeight="1">
      <x:c r="A455" s="9" t="str">
        <x:v>C03</x:v>
      </x:c>
      <x:c r="B455" s="9" t="str">
        <x:v>P0315</x:v>
      </x:c>
      <x:c r="C455" s="9" t="str">
        <x:v>Органик Микс</x:v>
      </x:c>
      <x:c r="D455" s="9" t="str">
        <x:v>Морской коктейль (водорастворимый) для Огурцов Органик Микс</x:v>
      </x:c>
      <x:c r="E455" s="9"/>
      <x:c r="F455" s="11" t="str">
        <x:v>https://organic-mix.ru/catalog/morskoy-kokteyl-vodorastvorimyy-dlya-ogurtsov-600-g-organik-miks/</x:v>
      </x:c>
    </x:row>
    <x:row r="456" ht="62" customHeight="1">
      <x:c r="A456" s="9" t="str">
        <x:v>C03</x:v>
      </x:c>
      <x:c r="B456" s="9" t="str">
        <x:v>P0369</x:v>
      </x:c>
      <x:c r="C456" s="9" t="str">
        <x:v>Органик Микс</x:v>
      </x:c>
      <x:c r="D456" s="9" t="str">
        <x:v>Удобрение для гигантской тыквы Рыжий Слон Органик Микс</x:v>
      </x:c>
      <x:c r="E456" s="9"/>
      <x:c r="F456" s="11" t="str">
        <x:v>https://organic-mix.ru/catalog/udobrenie-dlya-gigantskoy-tykvy-ryzhiy-slon-organik-miks-7-kg-vedro/</x:v>
      </x:c>
    </x:row>
    <x:row r="457" ht="62" customHeight="1">
      <x:c r="A457" s="9" t="str">
        <x:v>C03</x:v>
      </x:c>
      <x:c r="B457" s="9" t="str">
        <x:v>P0380</x:v>
      </x:c>
      <x:c r="C457" s="9" t="str">
        <x:v>Органик Микс</x:v>
      </x:c>
      <x:c r="D457" s="9" t="str">
        <x:v>Удобрение для огурцов</x:v>
      </x:c>
      <x:c r="E457" s="9"/>
      <x:c r="F457" s="11" t="str">
        <x:v>https://organic-mix.ru/catalog/udobrenie-dlya-ogurtsov-organik-miks-850-gr/</x:v>
      </x:c>
    </x:row>
    <x:row r="458" ht="62" customHeight="1">
      <x:c r="A458" s="9" t="str">
        <x:v>C03</x:v>
      </x:c>
      <x:c r="B458" s="9" t="str">
        <x:v>P0404</x:v>
      </x:c>
      <x:c r="C458" s="9" t="str">
        <x:v>Органик Микс</x:v>
      </x:c>
      <x:c r="D458" s="9" t="str">
        <x:v>ЭЛИКСИР № 1 - для Огурцов Органик Микс (NEW)</x:v>
      </x:c>
      <x:c r="E458" s="9"/>
      <x:c r="F458" s="11" t="str">
        <x:v>https://organic-mix.ru/catalog/eliksir-1-dlya-ogurtsov-900-ml-organik-miks-new/</x:v>
      </x:c>
    </x:row>
    <x:row r="459" ht="62" customHeight="1">
      <x:c r="A459" s="9" t="str">
        <x:v>C03</x:v>
      </x:c>
      <x:c r="B459" s="9" t="str">
        <x:v>P0620</x:v>
      </x:c>
      <x:c r="C459" s="9" t="str">
        <x:v>БашИнком</x:v>
      </x:c>
      <x:c r="D459" s="9" t="str">
        <x:v>Гуми–Оми Огурец, Кабачок, Бахчевые</x:v>
      </x:c>
      <x:c r="E459" s="9"/>
      <x:c r="F459" s="11" t="str">
        <x:v>https://www.bashinkom.ru/products/ojz/GumiOMIOguretsKabachokBakhchevye07kg</x:v>
      </x:c>
    </x:row>
    <x:row r="460" ht="62" customHeight="1">
      <x:c r="A460" s="9" t="str">
        <x:v>C04</x:v>
      </x:c>
      <x:c r="B460" s="9" t="str">
        <x:v>P0020</x:v>
      </x:c>
      <x:c r="C460" s="9" t="str">
        <x:v>Аминосил</x:v>
      </x:c>
      <x:c r="D460" s="9" t="str">
        <x:v>Витамины для овощей и рассады в гранулах</x:v>
      </x:c>
      <x:c r="E460" s="9"/>
      <x:c r="F460" s="11" t="str">
        <x:v>https://aminosil.ru/vitamini-dlya-rassadi-v-granulah</x:v>
      </x:c>
    </x:row>
    <x:row r="461" ht="62" customHeight="1">
      <x:c r="A461" s="9" t="str">
        <x:v>C04</x:v>
      </x:c>
      <x:c r="B461" s="9" t="str">
        <x:v>P0021</x:v>
      </x:c>
      <x:c r="C461" s="9" t="str">
        <x:v>Аминосил</x:v>
      </x:c>
      <x:c r="D461" s="9" t="str">
        <x:v>Витамины для овощей и рассады в форме геля</x:v>
      </x:c>
      <x:c r="E461" s="9"/>
      <x:c r="F461" s="11" t="str">
        <x:v>https://aminosil.ru/vitamini-dlya-ovoschei-i-rassadi-v-forme-gelya</x:v>
      </x:c>
    </x:row>
    <x:row r="462" ht="62" customHeight="1">
      <x:c r="A462" s="9" t="str">
        <x:v>C04</x:v>
      </x:c>
      <x:c r="B462" s="9" t="str">
        <x:v>P0031</x:v>
      </x:c>
      <x:c r="C462" s="9" t="str">
        <x:v>Аминосил</x:v>
      </x:c>
      <x:c r="D462" s="9" t="str">
        <x:v>Витамины для рассады в форме концентрата</x:v>
      </x:c>
      <x:c r="E462" s="9"/>
      <x:c r="F462" s="11" t="str">
        <x:v>https://aminosil.ru/vitamini-dlya-rassady-v-forme-kontsentra</x:v>
      </x:c>
    </x:row>
    <x:row r="463" ht="62" customHeight="1">
      <x:c r="A463" s="9" t="str">
        <x:v>C04</x:v>
      </x:c>
      <x:c r="B463" s="9" t="str">
        <x:v>P0058</x:v>
      </x:c>
      <x:c r="C463" s="9" t="str">
        <x:v>Аминосил</x:v>
      </x:c>
      <x:c r="D463" s="9" t="str">
        <x:v>Спрей Аминосил для рассады</x:v>
      </x:c>
      <x:c r="E463" s="9"/>
      <x:c r="F463" s="11" t="str">
        <x:v>https://aminosil.ru/sprei-aminosil-dlya-rassadi</x:v>
      </x:c>
    </x:row>
    <x:row r="464" ht="62" customHeight="1">
      <x:c r="A464" s="9" t="str">
        <x:v>C04</x:v>
      </x:c>
      <x:c r="B464" s="9" t="str">
        <x:v>P0092</x:v>
      </x:c>
      <x:c r="C464" s="9" t="str">
        <x:v>Био-комплекс</x:v>
      </x:c>
      <x:c r="D464" s="9" t="str">
        <x:v>БИО-комплекс Рассада БУМ</x:v>
      </x:c>
      <x:c r="E464" s="9"/>
      <x:c r="F464" s="11" t="str">
        <x:v>https://bio-kompleks.ru/catalog/vsya_produktsiya/bio_kompleks_rassada_bum/</x:v>
      </x:c>
    </x:row>
    <x:row r="465" ht="62" customHeight="1">
      <x:c r="A465" s="9" t="str">
        <x:v>C04</x:v>
      </x:c>
      <x:c r="B465" s="9" t="str">
        <x:v>P0137</x:v>
      </x:c>
      <x:c r="C465" s="9" t="str">
        <x:v>Био-комплекс</x:v>
      </x:c>
      <x:c r="D465" s="9" t="str">
        <x:v>БИО-комплекс, ТМ Листория, Рассада</x:v>
      </x:c>
      <x:c r="E465" s="9"/>
      <x:c r="F465" s="11" t="str">
        <x:v>https://bio-kompleks.ru/catalog/vsya_produktsiya/bio_kompleks_tm_listoriya_rassada/</x:v>
      </x:c>
    </x:row>
    <x:row r="466" ht="62" customHeight="1">
      <x:c r="A466" s="9" t="str">
        <x:v>C04</x:v>
      </x:c>
      <x:c r="B466" s="9" t="str">
        <x:v>P0162</x:v>
      </x:c>
      <x:c r="C466" s="9" t="str">
        <x:v>Био-комплекс</x:v>
      </x:c>
      <x:c r="D466" s="9" t="str">
        <x:v>Биококтейль для рассады ТМ ВитаминУС</x:v>
      </x:c>
      <x:c r="E466" s="9"/>
      <x:c r="F466" s="11" t="str">
        <x:v>https://bio-kompleks.ru/catalog/vsya_produktsiya/biokokteyl-dlya-rassady-tm-vitaminus/</x:v>
      </x:c>
    </x:row>
    <x:row r="467" ht="62" customHeight="1">
      <x:c r="A467" s="9" t="str">
        <x:v>C04</x:v>
      </x:c>
      <x:c r="B467" s="9" t="str">
        <x:v>P0316</x:v>
      </x:c>
      <x:c r="C467" s="9" t="str">
        <x:v>Органик Микс</x:v>
      </x:c>
      <x:c r="D467" s="9" t="str">
        <x:v>Морской коктейль (водорастворимый) для рассады Органик Микс</x:v>
      </x:c>
      <x:c r="E467" s="9"/>
      <x:c r="F467" s="11" t="str">
        <x:v>https://organic-mix.ru/catalog/morskoy-kokteyl-vodorastvorimyy-dlya-rassady-150-gr-organik-miks/</x:v>
      </x:c>
    </x:row>
    <x:row r="468" ht="62" customHeight="1">
      <x:c r="A468" s="9" t="str">
        <x:v>C04</x:v>
      </x:c>
      <x:c r="B468" s="9" t="str">
        <x:v>P0328</x:v>
      </x:c>
      <x:c r="C468" s="9" t="str">
        <x:v>Органик Микс</x:v>
      </x:c>
      <x:c r="D468" s="9" t="str">
        <x:v>Морской коктейль (жидкий) для рассады</x:v>
      </x:c>
      <x:c r="E468" s="9"/>
      <x:c r="F468" s="11" t="str">
        <x:v>https://organic-mix.ru/catalog/morskoy-kokteyl-zhidkiy-dlya-rassady-900-ml-sfr/</x:v>
      </x:c>
    </x:row>
    <x:row r="469" ht="62" customHeight="1">
      <x:c r="A469" s="9" t="str">
        <x:v>C04</x:v>
      </x:c>
      <x:c r="B469" s="9" t="str">
        <x:v>P0329</x:v>
      </x:c>
      <x:c r="C469" s="9" t="str">
        <x:v>Органик Микс</x:v>
      </x:c>
      <x:c r="D469" s="9" t="str">
        <x:v>Морской коктейль (жидкий) для рассады (с приятным запахом)</x:v>
      </x:c>
      <x:c r="E469" s="9"/>
      <x:c r="F469" s="11" t="str">
        <x:v>https://organic-mix.ru/catalog/morskoy-kokteyl-zhidkiy-dlya-rassady-250-ml-s-priyatnym-zapakhom/</x:v>
      </x:c>
    </x:row>
    <x:row r="470" ht="62" customHeight="1">
      <x:c r="A470" s="9" t="str">
        <x:v>C04</x:v>
      </x:c>
      <x:c r="B470" s="9" t="str">
        <x:v>P0336</x:v>
      </x:c>
      <x:c r="C470" s="9" t="str">
        <x:v>Органик Микс</x:v>
      </x:c>
      <x:c r="D470" s="9" t="str">
        <x:v>Морской коктейль Гель для Рассады</x:v>
      </x:c>
      <x:c r="E470" s="9"/>
      <x:c r="F470" s="11" t="str">
        <x:v>https://organic-mix.ru/catalog/morskoy-kokteyl-gel-dlya-rassady-450-ml/</x:v>
      </x:c>
    </x:row>
    <x:row r="471" ht="62" customHeight="1">
      <x:c r="A471" s="9" t="str">
        <x:v>C04</x:v>
      </x:c>
      <x:c r="B471" s="9" t="str">
        <x:v>P0339</x:v>
      </x:c>
      <x:c r="C471" s="9" t="str">
        <x:v>Органик Микс</x:v>
      </x:c>
      <x:c r="D471" s="9" t="str">
        <x:v>Морской коктейль Тоник для Рассады (СПРЕЙ)</x:v>
      </x:c>
      <x:c r="E471" s="9"/>
      <x:c r="F471" s="11" t="str">
        <x:v>https://organic-mix.ru/catalog/morskoy-kokteyl-tonik-dlya-rassady-sprey-450-ml/</x:v>
      </x:c>
    </x:row>
    <x:row r="472" ht="62" customHeight="1">
      <x:c r="A472" s="9" t="str">
        <x:v>C04</x:v>
      </x:c>
      <x:c r="B472" s="9" t="str">
        <x:v>P0381</x:v>
      </x:c>
      <x:c r="C472" s="9" t="str">
        <x:v>Органик Микс</x:v>
      </x:c>
      <x:c r="D472" s="9" t="str">
        <x:v>Удобрение для пересадки и рассады</x:v>
      </x:c>
      <x:c r="E472" s="9"/>
      <x:c r="F472" s="11" t="str">
        <x:v>https://organic-mix.ru/catalog/udobrenie-dlya-peresadki-i-rassady-organik-miks-850-gr/</x:v>
      </x:c>
    </x:row>
    <x:row r="473" ht="62" customHeight="1">
      <x:c r="A473" s="9" t="str">
        <x:v>C04</x:v>
      </x:c>
      <x:c r="B473" s="9" t="str">
        <x:v>P0382</x:v>
      </x:c>
      <x:c r="C473" s="9" t="str">
        <x:v>Органик Микс</x:v>
      </x:c>
      <x:c r="D473" s="9" t="str">
        <x:v>Удобрение для посадки саженцев</x:v>
      </x:c>
      <x:c r="E473" s="9"/>
      <x:c r="F473" s="11" t="str">
        <x:v>https://organic-mix.ru/catalog/udobrenie-dlya-posadki-sazhentsev-organik-miks-850-gr/</x:v>
      </x:c>
    </x:row>
    <x:row r="474" ht="62" customHeight="1">
      <x:c r="A474" s="9" t="str">
        <x:v>C04</x:v>
      </x:c>
      <x:c r="B474" s="9" t="str">
        <x:v>P0409</x:v>
      </x:c>
      <x:c r="C474" s="9" t="str">
        <x:v>Органик Микс</x:v>
      </x:c>
      <x:c r="D474" s="9" t="str">
        <x:v>ЭЛИКСИР № 1 - для Рассады Органик Микс (NEW)</x:v>
      </x:c>
      <x:c r="E474" s="9"/>
      <x:c r="F474" s="11" t="str">
        <x:v>https://organic-mix.ru/catalog/eliksir-1-dlya-rassady-900-ml-new/</x:v>
      </x:c>
    </x:row>
    <x:row r="475" ht="62" customHeight="1">
      <x:c r="A475" s="9" t="str">
        <x:v>C04</x:v>
      </x:c>
      <x:c r="B475" s="9" t="str">
        <x:v>P0623</x:v>
      </x:c>
      <x:c r="C475" s="9" t="str">
        <x:v>БашИнком</x:v>
      </x:c>
      <x:c r="D475" s="9" t="str">
        <x:v>Гуми-Оми Рассада</x:v>
      </x:c>
      <x:c r="E475" s="9"/>
      <x:c r="F475" s="11" t="str">
        <x:v>https://www.bashinkom.ru/products/ojz/GumiOmiRassada</x:v>
      </x:c>
    </x:row>
    <x:row r="476" ht="62" customHeight="1">
      <x:c r="A476" s="9" t="str">
        <x:v>C05</x:v>
      </x:c>
      <x:c r="B476" s="9" t="str">
        <x:v>P0015</x:v>
      </x:c>
      <x:c r="C476" s="9" t="str">
        <x:v>Аминосил</x:v>
      </x:c>
      <x:c r="D476" s="9" t="str">
        <x:v>Витамины для клубники в гранулах</x:v>
      </x:c>
      <x:c r="E476" s="9"/>
      <x:c r="F476" s="11" t="str">
        <x:v>https://aminosil.ru/vitamini-dlya-klubniki-v-granulah</x:v>
      </x:c>
    </x:row>
    <x:row r="477" ht="62" customHeight="1">
      <x:c r="A477" s="9" t="str">
        <x:v>C05</x:v>
      </x:c>
      <x:c r="B477" s="9" t="str">
        <x:v>P0016</x:v>
      </x:c>
      <x:c r="C477" s="9" t="str">
        <x:v>Аминосил</x:v>
      </x:c>
      <x:c r="D477" s="9" t="str">
        <x:v>Витамины для клубники в форме концентрата</x:v>
      </x:c>
      <x:c r="E477" s="9"/>
      <x:c r="F477" s="11" t="str">
        <x:v>https://aminosil.ru/vitamini-dlya-klubniki-v-forme-kontsentrata</x:v>
      </x:c>
    </x:row>
    <x:row r="478" ht="62" customHeight="1">
      <x:c r="A478" s="9" t="str">
        <x:v>C05</x:v>
      </x:c>
      <x:c r="B478" s="9" t="str">
        <x:v>P0083</x:v>
      </x:c>
      <x:c r="C478" s="9" t="str">
        <x:v>Био-комплекс</x:v>
      </x:c>
      <x:c r="D478" s="9" t="str">
        <x:v>БИО-комплекс ОМУ для клубники и земляники, ТМ БИОША</x:v>
      </x:c>
      <x:c r="E478" s="9"/>
      <x:c r="F478" s="11" t="str">
        <x:v>https://bio-kompleks.ru/catalog/vsya_produktsiya/bio_kompleks_omu_dlya_klubniki_i_zemlyaniki_tm_biosha/</x:v>
      </x:c>
    </x:row>
    <x:row r="479" ht="62" customHeight="1">
      <x:c r="A479" s="9" t="str">
        <x:v>C05</x:v>
      </x:c>
      <x:c r="B479" s="9" t="str">
        <x:v>P0086</x:v>
      </x:c>
      <x:c r="C479" s="9" t="str">
        <x:v>Био-комплекс</x:v>
      </x:c>
      <x:c r="D479" s="9" t="str">
        <x:v>БИО-комплекс ОМУ для плодово-ягодных деревьев и кустарников, ТМ БИОША</x:v>
      </x:c>
      <x:c r="E479" s="9"/>
      <x:c r="F479" s="11" t="str">
        <x:v>https://bio-kompleks.ru/catalog/vsya_produktsiya/bio_kompleks_omu_dlya_plodovo_yagodnykh_derevev_i_kustarnikov_tm_biosha/</x:v>
      </x:c>
    </x:row>
    <x:row r="480" ht="62" customHeight="1">
      <x:c r="A480" s="9" t="str">
        <x:v>C05</x:v>
      </x:c>
      <x:c r="B480" s="9" t="str">
        <x:v>P0117</x:v>
      </x:c>
      <x:c r="C480" s="9" t="str">
        <x:v>Био-комплекс</x:v>
      </x:c>
      <x:c r="D480" s="9" t="str">
        <x:v>БИО-комплекс Удобрение органическое для ягод, ТМ Удобряша</x:v>
      </x:c>
      <x:c r="E480" s="9"/>
      <x:c r="F480" s="11" t="str">
        <x:v>https://bio-kompleks.ru/catalog/vsya_produktsiya/bio_kompleks_udobrenie_organicheskoe_dlya_yagod_tm_udobryasha/</x:v>
      </x:c>
    </x:row>
    <x:row r="481" ht="62" customHeight="1">
      <x:c r="A481" s="9" t="str">
        <x:v>C05</x:v>
      </x:c>
      <x:c r="B481" s="9" t="str">
        <x:v>P0131</x:v>
      </x:c>
      <x:c r="C481" s="9" t="str">
        <x:v>Био-комплекс</x:v>
      </x:c>
      <x:c r="D481" s="9" t="str">
        <x:v>БИО-комплекс Ягоды БУМ</x:v>
      </x:c>
      <x:c r="E481" s="9"/>
      <x:c r="F481" s="11" t="str">
        <x:v>https://bio-kompleks.ru/catalog/vsya_produktsiya/bio_kompleks_yagody_bum/</x:v>
      </x:c>
    </x:row>
    <x:row r="482" ht="62" customHeight="1">
      <x:c r="A482" s="9" t="str">
        <x:v>C05</x:v>
      </x:c>
      <x:c r="B482" s="9" t="str">
        <x:v>P0142</x:v>
      </x:c>
      <x:c r="C482" s="9" t="str">
        <x:v>Био-комплекс</x:v>
      </x:c>
      <x:c r="D482" s="9" t="str">
        <x:v>БИО-комплекс, ТМ Листория, Ягоды</x:v>
      </x:c>
      <x:c r="E482" s="9"/>
      <x:c r="F482" s="11" t="str">
        <x:v>https://bio-kompleks.ru/catalog/vsya_produktsiya/bio_kompleks_tm_listoriya_yagody/</x:v>
      </x:c>
    </x:row>
    <x:row r="483" ht="62" customHeight="1">
      <x:c r="A483" s="9" t="str">
        <x:v>C05</x:v>
      </x:c>
      <x:c r="B483" s="9" t="str">
        <x:v>P0152</x:v>
      </x:c>
      <x:c r="C483" s="9" t="str">
        <x:v>Био-комплекс</x:v>
      </x:c>
      <x:c r="D483" s="9" t="str">
        <x:v>БИОкоктейль для клубники и малины ТМ ВИТАМИНУС</x:v>
      </x:c>
      <x:c r="E483" s="9"/>
      <x:c r="F483" s="11" t="str">
        <x:v>https://bio-kompleks.ru/catalog/vsya_produktsiya/biokokteyl_dlya_klubniki_i_maliny_tm_vitaminus/</x:v>
      </x:c>
    </x:row>
    <x:row r="484" ht="62" customHeight="1">
      <x:c r="A484" s="9" t="str">
        <x:v>C05</x:v>
      </x:c>
      <x:c r="B484" s="9" t="str">
        <x:v>P0164</x:v>
      </x:c>
      <x:c r="C484" s="9" t="str">
        <x:v>Био-комплекс</x:v>
      </x:c>
      <x:c r="D484" s="9" t="str">
        <x:v>БИОкоктейль для смородины, крыжовника и жимолости ТМ ВИТАМИНУС</x:v>
      </x:c>
      <x:c r="E484" s="9"/>
      <x:c r="F484" s="11" t="str">
        <x:v>https://bio-kompleks.ru/catalog/vsya_produktsiya/biokokteyl_dlya_smorodiny_kryzhovnika_i_zhimolosti_tm_vitaminus/</x:v>
      </x:c>
    </x:row>
    <x:row r="485" ht="62" customHeight="1">
      <x:c r="A485" s="9" t="str">
        <x:v>C05</x:v>
      </x:c>
      <x:c r="B485" s="9" t="str">
        <x:v>P0211</x:v>
      </x:c>
      <x:c r="C485" s="9" t="str">
        <x:v>Био-комплекс</x:v>
      </x:c>
      <x:c r="D485" s="9" t="str">
        <x:v>Нутривант Плюс, Ягодный NPK: 12-5-27, профессиональное комплексное удобрение</x:v>
      </x:c>
      <x:c r="E485" s="9"/>
      <x:c r="F485" s="11" t="str">
        <x:v>https://bio-kompleks.ru/catalog/vsya_produktsiya/nutrivant-plyus-yagodnyy-npk-12-5-27-professionalnoe-kompleksnoe-udobrenie/</x:v>
      </x:c>
    </x:row>
    <x:row r="486" ht="62" customHeight="1">
      <x:c r="A486" s="9" t="str">
        <x:v>C05</x:v>
      </x:c>
      <x:c r="B486" s="9" t="str">
        <x:v>P0219</x:v>
      </x:c>
      <x:c r="C486" s="9" t="str">
        <x:v>Био-комплекс</x:v>
      </x:c>
      <x:c r="D486" s="9" t="str">
        <x:v>РАКЕТА, Удобрение для плодово-ягодных кустарников (колышки)</x:v>
      </x:c>
      <x:c r="E486" s="9"/>
      <x:c r="F486" s="11" t="str">
        <x:v>https://bio-kompleks.ru/catalog/vsya_produktsiya/raketa-udobrenie-dlya-plodovo-yagodnykh-kustarnikov-kolyshki/</x:v>
      </x:c>
    </x:row>
    <x:row r="487" ht="62" customHeight="1">
      <x:c r="A487" s="9" t="str">
        <x:v>C05</x:v>
      </x:c>
      <x:c r="B487" s="9" t="str">
        <x:v>P0313</x:v>
      </x:c>
      <x:c r="C487" s="9" t="str">
        <x:v>Органик Микс</x:v>
      </x:c>
      <x:c r="D487" s="9" t="str">
        <x:v>Морской коктейль (водорастворимый) для Клубники</x:v>
      </x:c>
      <x:c r="E487" s="9"/>
      <x:c r="F487" s="11" t="str">
        <x:v>https://organic-mix.ru/catalog/morskoy-kokteyl-vodorastvorimyy-dlya-klubniki-600-gr-/</x:v>
      </x:c>
    </x:row>
    <x:row r="488" ht="62" customHeight="1">
      <x:c r="A488" s="9" t="str">
        <x:v>C05</x:v>
      </x:c>
      <x:c r="B488" s="9" t="str">
        <x:v>P0327</x:v>
      </x:c>
      <x:c r="C488" s="9" t="str">
        <x:v>Органик Микс</x:v>
      </x:c>
      <x:c r="D488" s="9" t="str">
        <x:v>Морской коктейль (жидкий) для Клубники</x:v>
      </x:c>
      <x:c r="E488" s="9"/>
      <x:c r="F488" s="11" t="str">
        <x:v>https://organic-mix.ru/catalog/morskoy-kokteyl-zhidkiy-dlya-klubniki-450-ml/</x:v>
      </x:c>
    </x:row>
    <x:row r="489" ht="62" customHeight="1">
      <x:c r="A489" s="9" t="str">
        <x:v>C05</x:v>
      </x:c>
      <x:c r="B489" s="9" t="str">
        <x:v>P0375</x:v>
      </x:c>
      <x:c r="C489" s="9" t="str">
        <x:v>Органик Микс</x:v>
      </x:c>
      <x:c r="D489" s="9" t="str">
        <x:v>Удобрение для клубники и ягодных</x:v>
      </x:c>
      <x:c r="E489" s="9"/>
      <x:c r="F489" s="11" t="str">
        <x:v>https://organic-mix.ru/catalog/udobrenie-dlya-klubniki-i-yagodnykh-organik-miks-800-gr/</x:v>
      </x:c>
    </x:row>
    <x:row r="490" ht="62" customHeight="1">
      <x:c r="A490" s="9" t="str">
        <x:v>C05</x:v>
      </x:c>
      <x:c r="B490" s="9" t="str">
        <x:v>P0399</x:v>
      </x:c>
      <x:c r="C490" s="9" t="str">
        <x:v>Органик Микс</x:v>
      </x:c>
      <x:c r="D490" s="9" t="str">
        <x:v>ЭЛИКСИР № 1 - для Клубники Органик Микс (NEW)</x:v>
      </x:c>
      <x:c r="E490" s="9"/>
      <x:c r="F490" s="11" t="str">
        <x:v>https://organic-mix.ru/catalog/eliksir-1-dlya-klubniki-900-ml-organik-miks-new/</x:v>
      </x:c>
    </x:row>
    <x:row r="491" ht="62" customHeight="1">
      <x:c r="A491" s="9" t="str">
        <x:v>C05</x:v>
      </x:c>
      <x:c r="B491" s="9" t="str">
        <x:v>P0421</x:v>
      </x:c>
      <x:c r="C491" s="9" t="str">
        <x:v>Органик Микс</x:v>
      </x:c>
      <x:c r="D491" s="9" t="str">
        <x:v>Эликсир № 1 для ягодных</x:v>
      </x:c>
      <x:c r="E491" s="9"/>
      <x:c r="F491" s="11" t="str">
        <x:v>https://organic-mix.ru/catalog/eliksir-1-dlya-yagodnykh-900-ml-organik-miks/</x:v>
      </x:c>
    </x:row>
    <x:row r="492" ht="62" customHeight="1">
      <x:c r="A492" s="9" t="str">
        <x:v>C05</x:v>
      </x:c>
      <x:c r="B492" s="9" t="str">
        <x:v>P0577</x:v>
      </x:c>
      <x:c r="C492" s="9" t="str">
        <x:v>БашИнком</x:v>
      </x:c>
      <x:c r="D492" s="9" t="str">
        <x:v>БОГАТЫЙ Овощи, Ягоды, Зелень - жидкое комплексное биоактивированое удобрение</x:v>
      </x:c>
      <x:c r="E492" s="9"/>
      <x:c r="F492" s="11" t="str">
        <x:v>https://www.bashinkom.ru/products/ojz/BOGATYYOvoshchiYAgodyZelenzhidkoekompleksnoebioaktivirovanoeudobrenie05l</x:v>
      </x:c>
    </x:row>
    <x:row r="493" ht="62" customHeight="1">
      <x:c r="A493" s="9" t="str">
        <x:v>C05</x:v>
      </x:c>
      <x:c r="B493" s="9" t="str">
        <x:v>P0626</x:v>
      </x:c>
      <x:c r="C493" s="9" t="str">
        <x:v>БашИнком</x:v>
      </x:c>
      <x:c r="D493" s="9" t="str">
        <x:v>Гуми–Оми Универсал - Овощи, Ягоды, Цветы</x:v>
      </x:c>
      <x:c r="E493" s="9"/>
      <x:c r="F493" s="11" t="str">
        <x:v>https://www.bashinkom.ru/products/ojz/GumiOMIUNIVERSALOvoshchiYAgodyTSvety07kg</x:v>
      </x:c>
    </x:row>
    <x:row r="494" ht="62" customHeight="1">
      <x:c r="A494" s="9" t="str">
        <x:v>C05</x:v>
      </x:c>
      <x:c r="B494" s="9" t="str">
        <x:v>P0633</x:v>
      </x:c>
      <x:c r="C494" s="9" t="str">
        <x:v>БашИнком</x:v>
      </x:c>
      <x:c r="D494" s="9" t="str">
        <x:v>Гуми-Оми Ягодный-Земляника-Клубника-Малина-Смородина</x:v>
      </x:c>
      <x:c r="E494" s="9"/>
      <x:c r="F494" s="11" t="str">
        <x:v>https://www.bashinkom.ru/products/ojz/GumiOmiYAGODNYYZemlyanikaKlubnikaMalinaSmorodina07kg</x:v>
      </x:c>
    </x:row>
    <x:row r="495" ht="62" customHeight="1">
      <x:c r="A495" s="9" t="str">
        <x:v>C05</x:v>
      </x:c>
      <x:c r="B495" s="9" t="str">
        <x:v>P0679</x:v>
      </x:c>
      <x:c r="C495" s="9" t="str">
        <x:v>БашИнком</x:v>
      </x:c>
      <x:c r="D495" s="9" t="str">
        <x:v>Пробиогранулы "Гуми – Оми Ягодное – "</x:v>
      </x:c>
      <x:c r="E495" s="9"/>
      <x:c r="F495" s="11" t="str">
        <x:v>https://www.bashinkom.ru/products/ojz/GumiOmiYAgodnoe08kggranulirovannyy</x:v>
      </x:c>
    </x:row>
    <x:row r="496" ht="62" customHeight="1">
      <x:c r="A496" s="9" t="str">
        <x:v>C06</x:v>
      </x:c>
      <x:c r="B496" s="9" t="str">
        <x:v>P0029</x:v>
      </x:c>
      <x:c r="C496" s="9" t="str">
        <x:v>Аминосил</x:v>
      </x:c>
      <x:c r="D496" s="9" t="str">
        <x:v>Витамины для пионов в форме гранул</x:v>
      </x:c>
      <x:c r="E496" s="9"/>
      <x:c r="F496" s="11" t="str">
        <x:v>https://aminosil.ru/vitamini-dlya-pionov-v-forme-granul</x:v>
      </x:c>
    </x:row>
    <x:row r="497" ht="62" customHeight="1">
      <x:c r="A497" s="9" t="str">
        <x:v>C06</x:v>
      </x:c>
      <x:c r="B497" s="9" t="str">
        <x:v>P0030</x:v>
      </x:c>
      <x:c r="C497" s="9" t="str">
        <x:v>Аминосил</x:v>
      </x:c>
      <x:c r="D497" s="9" t="str">
        <x:v>Витамины для пионов в форме концентрата</x:v>
      </x:c>
      <x:c r="E497" s="9"/>
      <x:c r="F497" s="11" t="str">
        <x:v>https://aminosil.ru/vitamini-dlya-pionov-forme-kontsentrata</x:v>
      </x:c>
    </x:row>
    <x:row r="498" ht="62" customHeight="1">
      <x:c r="A498" s="9" t="str">
        <x:v>C06</x:v>
      </x:c>
      <x:c r="B498" s="9" t="str">
        <x:v>P0032</x:v>
      </x:c>
      <x:c r="C498" s="9" t="str">
        <x:v>Аминосил</x:v>
      </x:c>
      <x:c r="D498" s="9" t="str">
        <x:v>Витамины для роз в гранулах</x:v>
      </x:c>
      <x:c r="E498" s="9"/>
      <x:c r="F498" s="11" t="str">
        <x:v>https://aminosil.ru/vitamini-dlya-roz-v-granulah</x:v>
      </x:c>
    </x:row>
    <x:row r="499" ht="62" customHeight="1">
      <x:c r="A499" s="9" t="str">
        <x:v>C06</x:v>
      </x:c>
      <x:c r="B499" s="9" t="str">
        <x:v>P0033</x:v>
      </x:c>
      <x:c r="C499" s="9" t="str">
        <x:v>Аминосил</x:v>
      </x:c>
      <x:c r="D499" s="9" t="str">
        <x:v>Витамины для роз в форме геля</x:v>
      </x:c>
      <x:c r="E499" s="9"/>
      <x:c r="F499" s="11" t="str">
        <x:v>https://aminosil.ru/vitamini-dlya-roz-v-forme-gelya</x:v>
      </x:c>
    </x:row>
    <x:row r="500" ht="62" customHeight="1">
      <x:c r="A500" s="9" t="str">
        <x:v>C06</x:v>
      </x:c>
      <x:c r="B500" s="9" t="str">
        <x:v>P0034</x:v>
      </x:c>
      <x:c r="C500" s="9" t="str">
        <x:v>Аминосил</x:v>
      </x:c>
      <x:c r="D500" s="9" t="str">
        <x:v>Витамины для роз в форме концентрата</x:v>
      </x:c>
      <x:c r="E500" s="9"/>
      <x:c r="F500" s="11" t="str">
        <x:v>https://aminosil.ru/vitamini-dlya-roz-forme-kontsentrata</x:v>
      </x:c>
    </x:row>
    <x:row r="501" ht="62" customHeight="1">
      <x:c r="A501" s="9" t="str">
        <x:v>C06</x:v>
      </x:c>
      <x:c r="B501" s="9" t="str">
        <x:v>P0059</x:v>
      </x:c>
      <x:c r="C501" s="9" t="str">
        <x:v>Аминосил</x:v>
      </x:c>
      <x:c r="D501" s="9" t="str">
        <x:v>Спрей Аминосил для роз</x:v>
      </x:c>
      <x:c r="E501" s="9"/>
      <x:c r="F501" s="11" t="str">
        <x:v>https://aminosil.ru/sprei-aminosil-dlya-roz</x:v>
      </x:c>
    </x:row>
    <x:row r="502" ht="62" customHeight="1">
      <x:c r="A502" s="9" t="str">
        <x:v>C06</x:v>
      </x:c>
      <x:c r="B502" s="9" t="str">
        <x:v>P0087</x:v>
      </x:c>
      <x:c r="C502" s="9" t="str">
        <x:v>Био-комплекс</x:v>
      </x:c>
      <x:c r="D502" s="9" t="str">
        <x:v>БИО-комплекс ОМУ для роз, пионов, ТМ БИОША</x:v>
      </x:c>
      <x:c r="E502" s="9"/>
      <x:c r="F502" s="11" t="str">
        <x:v>https://bio-kompleks.ru/catalog/vsya_produktsiya/bio_kompleks_omu_dlya_roz_pionov_tm_biosha/</x:v>
      </x:c>
    </x:row>
    <x:row r="503" ht="62" customHeight="1">
      <x:c r="A503" s="9" t="str">
        <x:v>C06</x:v>
      </x:c>
      <x:c r="B503" s="9" t="str">
        <x:v>P0154</x:v>
      </x:c>
      <x:c r="C503" s="9" t="str">
        <x:v>Био-комплекс</x:v>
      </x:c>
      <x:c r="D503" s="9" t="str">
        <x:v>Биококтейль для комнатной розы, комнатный фэншуй ТМ HAPPY</x:v>
      </x:c>
      <x:c r="E503" s="9"/>
      <x:c r="F503" s="11" t="str">
        <x:v>https://bio-kompleks.ru/catalog/vsya_produktsiya/biokokteyl-dlya-komnatnoy-rozy-komnatnyy-fenshuy-tm-happy/</x:v>
      </x:c>
    </x:row>
    <x:row r="504" ht="62" customHeight="1">
      <x:c r="A504" s="9" t="str">
        <x:v>C06</x:v>
      </x:c>
      <x:c r="B504" s="9" t="str">
        <x:v>P0163</x:v>
      </x:c>
      <x:c r="C504" s="9" t="str">
        <x:v>Био-комплекс</x:v>
      </x:c>
      <x:c r="D504" s="9" t="str">
        <x:v>БИОкоктейль для садовых роз ТМ ВИТАМИНУС</x:v>
      </x:c>
      <x:c r="E504" s="9"/>
      <x:c r="F504" s="11" t="str">
        <x:v>https://bio-kompleks.ru/catalog/vsya_produktsiya/biokokteyl_dlya_sadovykh_roz_tm_vitaminus/</x:v>
      </x:c>
    </x:row>
    <x:row r="505" ht="62" customHeight="1">
      <x:c r="A505" s="9" t="str">
        <x:v>C06</x:v>
      </x:c>
      <x:c r="B505" s="9" t="str">
        <x:v>P0317</x:v>
      </x:c>
      <x:c r="C505" s="9" t="str">
        <x:v>Органик Микс</x:v>
      </x:c>
      <x:c r="D505" s="9" t="str">
        <x:v>Морской коктейль (водорастворимый) для Роз Органик Микс</x:v>
      </x:c>
      <x:c r="E505" s="9"/>
      <x:c r="F505" s="11" t="str">
        <x:v>https://organic-mix.ru/catalog/morskoy-kokteyl-vodorastvorimyy-dlya-roz-150-g-organik-miks/</x:v>
      </x:c>
    </x:row>
    <x:row r="506" ht="62" customHeight="1">
      <x:c r="A506" s="9" t="str">
        <x:v>C06</x:v>
      </x:c>
      <x:c r="B506" s="9" t="str">
        <x:v>P0330</x:v>
      </x:c>
      <x:c r="C506" s="9" t="str">
        <x:v>Органик Микс</x:v>
      </x:c>
      <x:c r="D506" s="9" t="str">
        <x:v>Морской коктейль (жидкий) для Роз</x:v>
      </x:c>
      <x:c r="E506" s="9"/>
      <x:c r="F506" s="11" t="str">
        <x:v>https://organic-mix.ru/catalog/morskoy-kokteyl-zhidkiy-dlya-roz-450-ml/</x:v>
      </x:c>
    </x:row>
    <x:row r="507" ht="62" customHeight="1">
      <x:c r="A507" s="9" t="str">
        <x:v>C06</x:v>
      </x:c>
      <x:c r="B507" s="9" t="str">
        <x:v>P0383</x:v>
      </x:c>
      <x:c r="C507" s="9" t="str">
        <x:v>Органик Микс</x:v>
      </x:c>
      <x:c r="D507" s="9" t="str">
        <x:v>Удобрение для роз и цветов Органик Микс</x:v>
      </x:c>
      <x:c r="E507" s="9"/>
      <x:c r="F507" s="11" t="str">
        <x:v>https://organic-mix.ru/catalog/udobrenie-dlya-roz-i-tsvetov-organik-miks-7-kg-vedro/</x:v>
      </x:c>
    </x:row>
    <x:row r="508" ht="62" customHeight="1">
      <x:c r="A508" s="9" t="str">
        <x:v>C06</x:v>
      </x:c>
      <x:c r="B508" s="9" t="str">
        <x:v>P0407</x:v>
      </x:c>
      <x:c r="C508" s="9" t="str">
        <x:v>Органик Микс</x:v>
      </x:c>
      <x:c r="D508" s="9" t="str">
        <x:v>ЭЛИКСИР № 1 - для Пионов Органик Микс (NEW)</x:v>
      </x:c>
      <x:c r="E508" s="9"/>
      <x:c r="F508" s="11" t="str">
        <x:v>https://organic-mix.ru/catalog/eliksir-1-dlya-pionov-5-l-organik-miks-new/</x:v>
      </x:c>
    </x:row>
    <x:row r="509" ht="62" customHeight="1">
      <x:c r="A509" s="9" t="str">
        <x:v>C06</x:v>
      </x:c>
      <x:c r="B509" s="9" t="str">
        <x:v>P0410</x:v>
      </x:c>
      <x:c r="C509" s="9" t="str">
        <x:v>Органик Микс</x:v>
      </x:c>
      <x:c r="D509" s="9" t="str">
        <x:v>ЭЛИКСИР № 1 - для Роз Органик Микс (NEW)</x:v>
      </x:c>
      <x:c r="E509" s="9"/>
      <x:c r="F509" s="11" t="str">
        <x:v>https://organic-mix.ru/catalog/eliksir-1-dlya-roz-900-ml-organik-miks-new/</x:v>
      </x:c>
    </x:row>
    <x:row r="510" ht="62" customHeight="1">
      <x:c r="A510" s="9" t="str">
        <x:v>C06</x:v>
      </x:c>
      <x:c r="B510" s="9" t="str">
        <x:v>P0624</x:v>
      </x:c>
      <x:c r="C510" s="9" t="str">
        <x:v>БашИнком</x:v>
      </x:c>
      <x:c r="D510" s="9" t="str">
        <x:v>Гуми-Оми Розы</x:v>
      </x:c>
      <x:c r="E510" s="9"/>
      <x:c r="F510" s="11" t="str">
        <x:v>https://www.bashinkom.ru/products/ojz/ROZYGumiOmi05kg</x:v>
      </x:c>
    </x:row>
    <x:row r="511" ht="62" customHeight="1">
      <x:c r="A511" s="9" t="str">
        <x:v>C07</x:v>
      </x:c>
      <x:c r="B511" s="9" t="str">
        <x:v>P0006</x:v>
      </x:c>
      <x:c r="C511" s="9" t="str">
        <x:v>Аминосил</x:v>
      </x:c>
      <x:c r="D511" s="9" t="str">
        <x:v>Витамины для гортензий и азалий в форме геля</x:v>
      </x:c>
      <x:c r="E511" s="9"/>
      <x:c r="F511" s="11" t="str">
        <x:v>https://aminosil.ru/vitamini-dlya-gortenzii-i-azalii-v-forme-gelya</x:v>
      </x:c>
    </x:row>
    <x:row r="512" ht="62" customHeight="1">
      <x:c r="A512" s="9" t="str">
        <x:v>C07</x:v>
      </x:c>
      <x:c r="B512" s="9" t="str">
        <x:v>P0007</x:v>
      </x:c>
      <x:c r="C512" s="9" t="str">
        <x:v>Аминосил</x:v>
      </x:c>
      <x:c r="D512" s="9" t="str">
        <x:v>Витамины для гортензий и азалий в форме гранул</x:v>
      </x:c>
      <x:c r="E512" s="9"/>
      <x:c r="F512" s="11" t="str">
        <x:v>https://aminosil.ru/vitamini-dlya-gortenzii-i-azalii-v-forme-granul</x:v>
      </x:c>
    </x:row>
    <x:row r="513" ht="62" customHeight="1">
      <x:c r="A513" s="9" t="str">
        <x:v>C07</x:v>
      </x:c>
      <x:c r="B513" s="9" t="str">
        <x:v>P0008</x:v>
      </x:c>
      <x:c r="C513" s="9" t="str">
        <x:v>Аминосил</x:v>
      </x:c>
      <x:c r="D513" s="9" t="str">
        <x:v>Витамины для гортензий и азалий в форме концентрата</x:v>
      </x:c>
      <x:c r="E513" s="9"/>
      <x:c r="F513" s="11" t="str">
        <x:v>https://aminosil.ru/vitamini-dlya-gortenzii-i-azalii-forme-k</x:v>
      </x:c>
    </x:row>
    <x:row r="514" ht="62" customHeight="1">
      <x:c r="A514" s="9" t="str">
        <x:v>C07</x:v>
      </x:c>
      <x:c r="B514" s="9" t="str">
        <x:v>P0054</x:v>
      </x:c>
      <x:c r="C514" s="9" t="str">
        <x:v>Аминосил</x:v>
      </x:c>
      <x:c r="D514" s="9" t="str">
        <x:v>Спрей Аминосил для гортензий и азалий</x:v>
      </x:c>
      <x:c r="E514" s="9"/>
      <x:c r="F514" s="11" t="str">
        <x:v>https://aminosil.ru/sprei-aminosil-dlya-gortenzii</x:v>
      </x:c>
    </x:row>
    <x:row r="515" ht="62" customHeight="1">
      <x:c r="A515" s="9" t="str">
        <x:v>C07</x:v>
      </x:c>
      <x:c r="B515" s="9" t="str">
        <x:v>P0081</x:v>
      </x:c>
      <x:c r="C515" s="9" t="str">
        <x:v>Био-комплекс</x:v>
      </x:c>
      <x:c r="D515" s="9" t="str">
        <x:v>БИО-комплекс ОМУ для гортензий, рододендронов, азалий, ТМ БИОША</x:v>
      </x:c>
      <x:c r="E515" s="9"/>
      <x:c r="F515" s="11" t="str">
        <x:v>https://bio-kompleks.ru/catalog/vsya_produktsiya/bio_kompleks_omu_dlya_gortenziy_rododendronov_azaliy_tm_biosha/</x:v>
      </x:c>
    </x:row>
    <x:row r="516" ht="62" customHeight="1">
      <x:c r="A516" s="9" t="str">
        <x:v>C07</x:v>
      </x:c>
      <x:c r="B516" s="9" t="str">
        <x:v>P0111</x:v>
      </x:c>
      <x:c r="C516" s="9" t="str">
        <x:v>Био-комплекс</x:v>
      </x:c>
      <x:c r="D516" s="9" t="str">
        <x:v>БИО-комплекс Удобрение органическое для гортензий, ТМ Удобряша</x:v>
      </x:c>
      <x:c r="E516" s="9"/>
      <x:c r="F516" s="11" t="str">
        <x:v>https://bio-kompleks.ru/catalog/vsya_produktsiya/bio_kompleks_udobrenie_organicheskoe_dlya_gortenziy_tm_udobryasha/</x:v>
      </x:c>
    </x:row>
    <x:row r="517" ht="62" customHeight="1">
      <x:c r="A517" s="9" t="str">
        <x:v>C07</x:v>
      </x:c>
      <x:c r="B517" s="9" t="str">
        <x:v>P0148</x:v>
      </x:c>
      <x:c r="C517" s="9" t="str">
        <x:v>Био-комплекс</x:v>
      </x:c>
      <x:c r="D517" s="9" t="str">
        <x:v>БИОкоктейль для гортензий, азалий и рододендронов ТМ Витаминус</x:v>
      </x:c>
      <x:c r="E517" s="9"/>
      <x:c r="F517" s="11" t="str">
        <x:v>https://bio-kompleks.ru/catalog/vsya_produktsiya/biokokteyl_dlya_gortenziy_azaliy_i_rododendronov_tm_vitaminus/</x:v>
      </x:c>
    </x:row>
    <x:row r="518" ht="62" customHeight="1">
      <x:c r="A518" s="9" t="str">
        <x:v>C07</x:v>
      </x:c>
      <x:c r="B518" s="9" t="str">
        <x:v>P0222</x:v>
      </x:c>
      <x:c r="C518" s="9" t="str">
        <x:v>Био-комплекс</x:v>
      </x:c>
      <x:c r="D518" s="9" t="str">
        <x:v>РАКЕТА, Удобрение минеральное для гортензий (колышки)</x:v>
      </x:c>
      <x:c r="E518" s="9"/>
      <x:c r="F518" s="11" t="str">
        <x:v>https://bio-kompleks.ru/catalog/vsya_produktsiya/raketa-udobrenie-mineralnoe-dlya-gortenziy-kolyshki/</x:v>
      </x:c>
    </x:row>
    <x:row r="519" ht="62" customHeight="1">
      <x:c r="A519" s="9" t="str">
        <x:v>C07</x:v>
      </x:c>
      <x:c r="B519" s="9" t="str">
        <x:v>P0312</x:v>
      </x:c>
      <x:c r="C519" s="9" t="str">
        <x:v>Органик Микс</x:v>
      </x:c>
      <x:c r="D519" s="9" t="str">
        <x:v>Морской коктейль (водорастворимый) для Гортензий Органик Микс</x:v>
      </x:c>
      <x:c r="E519" s="9"/>
      <x:c r="F519" s="11" t="str">
        <x:v>https://organic-mix.ru/catalog/morskoy-kokteyl-vodorastvorimyy-dlya-gortenziy-150-g-organik-miks/</x:v>
      </x:c>
    </x:row>
    <x:row r="520" ht="62" customHeight="1">
      <x:c r="A520" s="9" t="str">
        <x:v>C07</x:v>
      </x:c>
      <x:c r="B520" s="9" t="str">
        <x:v>P0326</x:v>
      </x:c>
      <x:c r="C520" s="9" t="str">
        <x:v>Органик Микс</x:v>
      </x:c>
      <x:c r="D520" s="9" t="str">
        <x:v>Морской коктейль (жидкий) для Гортензий</x:v>
      </x:c>
      <x:c r="E520" s="9"/>
      <x:c r="F520" s="11" t="str">
        <x:v>https://organic-mix.ru/catalog/morskoy-kokteyl-zhidkiy-dlya-gortenziy-450-ml/</x:v>
      </x:c>
    </x:row>
    <x:row r="521" ht="62" customHeight="1">
      <x:c r="A521" s="9" t="str">
        <x:v>C07</x:v>
      </x:c>
      <x:c r="B521" s="9" t="str">
        <x:v>P0371</x:v>
      </x:c>
      <x:c r="C521" s="9" t="str">
        <x:v>Органик Микс</x:v>
      </x:c>
      <x:c r="D521" s="9" t="str">
        <x:v>Удобрение для гортензий</x:v>
      </x:c>
      <x:c r="E521" s="9"/>
      <x:c r="F521" s="11" t="str">
        <x:v>https://organic-mix.ru/catalog/udobrenie-dlya-gortenziy-organik-miks-800-gr/</x:v>
      </x:c>
    </x:row>
    <x:row r="522" ht="62" customHeight="1">
      <x:c r="A522" s="9" t="str">
        <x:v>C07</x:v>
      </x:c>
      <x:c r="B522" s="9" t="str">
        <x:v>P0397</x:v>
      </x:c>
      <x:c r="C522" s="9" t="str">
        <x:v>Органик Микс</x:v>
      </x:c>
      <x:c r="D522" s="9" t="str">
        <x:v>ЭЛИКСИР № 1 - для Гортензии Органик Микс (NEW)</x:v>
      </x:c>
      <x:c r="E522" s="9"/>
      <x:c r="F522" s="11" t="str">
        <x:v>https://organic-mix.ru/catalog/eliksir-1-dlya-gortenziy-900-ml-new/</x:v>
      </x:c>
    </x:row>
    <x:row r="523" ht="62" customHeight="1">
      <x:c r="A523" s="9" t="str">
        <x:v>C07</x:v>
      </x:c>
      <x:c r="B523" s="9" t="str">
        <x:v>P0576</x:v>
      </x:c>
      <x:c r="C523" s="9" t="str">
        <x:v>БашИнком</x:v>
      </x:c>
      <x:c r="D523" s="9" t="str">
        <x:v>Богатый Гортензия – жидкое комплексное биоактивированное удобрение</x:v>
      </x:c>
      <x:c r="E523" s="9"/>
      <x:c r="F523" s="11" t="str">
        <x:v>https://www.bashinkom.ru/products/ojz/BogatyyGortenziyarododendronazaliyakameliya</x:v>
      </x:c>
    </x:row>
    <x:row r="524" ht="62" customHeight="1">
      <x:c r="A524" s="9" t="str">
        <x:v>C07</x:v>
      </x:c>
      <x:c r="B524" s="9" t="str">
        <x:v>P0678</x:v>
      </x:c>
      <x:c r="C524" s="9" t="str">
        <x:v>БашИнком</x:v>
      </x:c>
      <x:c r="D524" s="9" t="str">
        <x:v>Пробиогранулы "Гортензия"</x:v>
      </x:c>
      <x:c r="E524" s="9"/>
      <x:c r="F524" s="11" t="str">
        <x:v>https://www.bashinkom.ru/products/ojz/ProbiogranulyGortenziya</x:v>
      </x:c>
    </x:row>
    <x:row r="525" ht="62" customHeight="1">
      <x:c r="A525" s="9" t="str">
        <x:v>C07</x:v>
      </x:c>
      <x:c r="B525" s="9" t="str">
        <x:v>P0681</x:v>
      </x:c>
      <x:c r="C525" s="9" t="str">
        <x:v>БашИнком</x:v>
      </x:c>
      <x:c r="D525" s="9" t="str">
        <x:v>Пробиогранулы "Кислотолюбивые кустарники"</x:v>
      </x:c>
      <x:c r="E525" s="9"/>
      <x:c r="F525" s="11" t="str">
        <x:v>https://www.bashinkom.ru/products/ojz/ProbiogranulyKislotolyubivyekustarniki08kg</x:v>
      </x:c>
    </x:row>
    <x:row r="526" ht="62" customHeight="1">
      <x:c r="A526" s="9" t="str">
        <x:v>C08</x:v>
      </x:c>
      <x:c r="B526" s="9" t="str">
        <x:v>P0004</x:v>
      </x:c>
      <x:c r="C526" s="9" t="str">
        <x:v>Аминосил</x:v>
      </x:c>
      <x:c r="D526" s="9" t="str">
        <x:v>Витамины для голубики в форме гранул</x:v>
      </x:c>
      <x:c r="E526" s="9"/>
      <x:c r="F526" s="11" t="str">
        <x:v>https://aminosil.ru/vitaminy-dlya-golubiki-v-forme-granul</x:v>
      </x:c>
    </x:row>
    <x:row r="527" ht="62" customHeight="1">
      <x:c r="A527" s="9" t="str">
        <x:v>C08</x:v>
      </x:c>
      <x:c r="B527" s="9" t="str">
        <x:v>P0005</x:v>
      </x:c>
      <x:c r="C527" s="9" t="str">
        <x:v>Аминосил</x:v>
      </x:c>
      <x:c r="D527" s="9" t="str">
        <x:v>Витамины для голубики в форме концентрата</x:v>
      </x:c>
      <x:c r="E527" s="9"/>
      <x:c r="F527" s="11" t="str">
        <x:v>https://aminosil.ru/vitamini-dlya-golubiki-v-forme-kontsentrata</x:v>
      </x:c>
    </x:row>
    <x:row r="528" ht="62" customHeight="1">
      <x:c r="A528" s="9" t="str">
        <x:v>C08</x:v>
      </x:c>
      <x:c r="B528" s="9" t="str">
        <x:v>P0110</x:v>
      </x:c>
      <x:c r="C528" s="9" t="str">
        <x:v>Био-комплекс</x:v>
      </x:c>
      <x:c r="D528" s="9" t="str">
        <x:v>БИО-комплекс Удобрение органическое для голубики, брусники, клюквы, черники, ТМ Удобряша</x:v>
      </x:c>
      <x:c r="E528" s="9"/>
      <x:c r="F528" s="11" t="str">
        <x:v>https://bio-kompleks.ru/catalog/vsya_produktsiya/bio_kompleks_udobrenie_organicheskoe_dlya_golubiki_brusniki_klyukvy_cherniki_tm_udobryasha/</x:v>
      </x:c>
    </x:row>
    <x:row r="529" ht="62" customHeight="1">
      <x:c r="A529" s="9" t="str">
        <x:v>C08</x:v>
      </x:c>
      <x:c r="B529" s="9" t="str">
        <x:v>P0147</x:v>
      </x:c>
      <x:c r="C529" s="9" t="str">
        <x:v>Био-комплекс</x:v>
      </x:c>
      <x:c r="D529" s="9" t="str">
        <x:v>БИОкоктейль для голубики, брусники и клюквы ТМ БИОША</x:v>
      </x:c>
      <x:c r="E529" s="9"/>
      <x:c r="F529" s="11" t="str">
        <x:v>https://bio-kompleks.ru/catalog/vsya_produktsiya/biokokteyl-dlya-golubiki-brusniki-i-klyukvy-tm-biosha/</x:v>
      </x:c>
    </x:row>
    <x:row r="530" ht="62" customHeight="1">
      <x:c r="A530" s="9" t="str">
        <x:v>C08</x:v>
      </x:c>
      <x:c r="B530" s="9" t="str">
        <x:v>P0370</x:v>
      </x:c>
      <x:c r="C530" s="9" t="str">
        <x:v>Органик Микс</x:v>
      </x:c>
      <x:c r="D530" s="9" t="str">
        <x:v>Удобрение для голубики</x:v>
      </x:c>
      <x:c r="E530" s="9"/>
      <x:c r="F530" s="11" t="str">
        <x:v>https://organic-mix.ru/catalog/udobrenie-dlya-golubiki/</x:v>
      </x:c>
    </x:row>
    <x:row r="531" ht="62" customHeight="1">
      <x:c r="A531" s="9" t="str">
        <x:v>C08</x:v>
      </x:c>
      <x:c r="B531" s="9" t="str">
        <x:v>P0396</x:v>
      </x:c>
      <x:c r="C531" s="9" t="str">
        <x:v>Органик Микс</x:v>
      </x:c>
      <x:c r="D531" s="9" t="str">
        <x:v>ЭЛИКСИР № 1 - для Голубики Органик Микс (NEW)</x:v>
      </x:c>
      <x:c r="E531" s="9"/>
      <x:c r="F531" s="11" t="str">
        <x:v>https://organic-mix.ru/catalog/eliksir-1-dlya-golubiki-5-l-organik-miks-new/</x:v>
      </x:c>
    </x:row>
    <x:row r="532" ht="62" customHeight="1">
      <x:c r="A532" s="9" t="str">
        <x:v>C09</x:v>
      </x:c>
      <x:c r="B532" s="9" t="str">
        <x:v>P0037</x:v>
      </x:c>
      <x:c r="C532" s="9" t="str">
        <x:v>Аминосил</x:v>
      </x:c>
      <x:c r="D532" s="9" t="str">
        <x:v>Витамины для туй в форме концентрата</x:v>
      </x:c>
      <x:c r="E532" s="9"/>
      <x:c r="F532" s="11" t="str">
        <x:v>https://aminosil.ru/vitamini-dlya-tui-v-forme-kontsentra</x:v>
      </x:c>
    </x:row>
    <x:row r="533" ht="62" customHeight="1">
      <x:c r="A533" s="9" t="str">
        <x:v>C09</x:v>
      </x:c>
      <x:c r="B533" s="9" t="str">
        <x:v>P0041</x:v>
      </x:c>
      <x:c r="C533" s="9" t="str">
        <x:v>Аминосил</x:v>
      </x:c>
      <x:c r="D533" s="9" t="str">
        <x:v>Витамины для хвойных в форме концентрата</x:v>
      </x:c>
      <x:c r="E533" s="9"/>
      <x:c r="F533" s="11" t="str">
        <x:v>https://aminosil.ru/vitamini-dlya-hvoinih-v-forme-kontsentra</x:v>
      </x:c>
    </x:row>
    <x:row r="534" ht="62" customHeight="1">
      <x:c r="A534" s="9" t="str">
        <x:v>C09</x:v>
      </x:c>
      <x:c r="B534" s="9" t="str">
        <x:v>P0042</x:v>
      </x:c>
      <x:c r="C534" s="9" t="str">
        <x:v>Аминосил</x:v>
      </x:c>
      <x:c r="D534" s="9" t="str">
        <x:v>Витамины для хвойных растений в гранулах</x:v>
      </x:c>
      <x:c r="E534" s="9"/>
      <x:c r="F534" s="11" t="str">
        <x:v>https://aminosil.ru/vitamini-dlya-hvoinih-rastenii-v-granulah</x:v>
      </x:c>
    </x:row>
    <x:row r="535" ht="62" customHeight="1">
      <x:c r="A535" s="9" t="str">
        <x:v>C09</x:v>
      </x:c>
      <x:c r="B535" s="9" t="str">
        <x:v>P0043</x:v>
      </x:c>
      <x:c r="C535" s="9" t="str">
        <x:v>Аминосил</x:v>
      </x:c>
      <x:c r="D535" s="9" t="str">
        <x:v>Витамины для хвойных растений в форме геля</x:v>
      </x:c>
      <x:c r="E535" s="9"/>
      <x:c r="F535" s="11" t="str">
        <x:v>https://aminosil.ru/-vitamini-dlya-hvoinih-rastenii-v-forme-gelya</x:v>
      </x:c>
    </x:row>
    <x:row r="536" ht="62" customHeight="1">
      <x:c r="A536" s="9" t="str">
        <x:v>C09</x:v>
      </x:c>
      <x:c r="B536" s="9" t="str">
        <x:v>P0089</x:v>
      </x:c>
      <x:c r="C536" s="9" t="str">
        <x:v>Био-комплекс</x:v>
      </x:c>
      <x:c r="D536" s="9" t="str">
        <x:v>БИО-комплекс ОМУ для хвойных культур, ТМ БИОША</x:v>
      </x:c>
      <x:c r="E536" s="9"/>
      <x:c r="F536" s="11" t="str">
        <x:v>https://bio-kompleks.ru/catalog/vsya_produktsiya/bio_kompleks_omu_dlya_khvoynykh_kultur_tm_biosha/</x:v>
      </x:c>
    </x:row>
    <x:row r="537" ht="62" customHeight="1">
      <x:c r="A537" s="9" t="str">
        <x:v>C09</x:v>
      </x:c>
      <x:c r="B537" s="9" t="str">
        <x:v>P0140</x:v>
      </x:c>
      <x:c r="C537" s="9" t="str">
        <x:v>Био-комплекс</x:v>
      </x:c>
      <x:c r="D537" s="9" t="str">
        <x:v>БИО-комплекс, ТМ Листория, Хвойные вечнозелёные</x:v>
      </x:c>
      <x:c r="E537" s="9"/>
      <x:c r="F537" s="11" t="str">
        <x:v>https://bio-kompleks.ru/catalog/vsya_produktsiya/bio_kompleks_tm_listoriya_khvoynye_vechnozelyenye/</x:v>
      </x:c>
    </x:row>
    <x:row r="538" ht="62" customHeight="1">
      <x:c r="A538" s="9" t="str">
        <x:v>C09</x:v>
      </x:c>
      <x:c r="B538" s="9" t="str">
        <x:v>P0169</x:v>
      </x:c>
      <x:c r="C538" s="9" t="str">
        <x:v>Био-комплекс</x:v>
      </x:c>
      <x:c r="D538" s="9" t="str">
        <x:v>БИОкоктейль для хвойных ТМ БИОША</x:v>
      </x:c>
      <x:c r="E538" s="9"/>
      <x:c r="F538" s="11" t="str">
        <x:v>https://bio-kompleks.ru/catalog/vsya_produktsiya/biokokteyl-dlya-khvoynykh-tm-biosha/</x:v>
      </x:c>
    </x:row>
    <x:row r="539" ht="62" customHeight="1">
      <x:c r="A539" s="9" t="str">
        <x:v>C09</x:v>
      </x:c>
      <x:c r="B539" s="9" t="str">
        <x:v>P0209</x:v>
      </x:c>
      <x:c r="C539" s="9" t="str">
        <x:v>Био-комплекс</x:v>
      </x:c>
      <x:c r="D539" s="9" t="str">
        <x:v>Нутривант Плюс, Хвойные вечнозелёные NPK 0-36-24 профессиональное комплексное удобрение</x:v>
      </x:c>
      <x:c r="E539" s="9"/>
      <x:c r="F539" s="11" t="str">
        <x:v>https://bio-kompleks.ru/catalog/vsya_produktsiya/nutrivant-plyus-khvoynye-vechnozelyenye-npk-0-36-24-professionalnoe-kompleksnoe-udobrenie/</x:v>
      </x:c>
    </x:row>
    <x:row r="540" ht="62" customHeight="1">
      <x:c r="A540" s="9" t="str">
        <x:v>C09</x:v>
      </x:c>
      <x:c r="B540" s="9" t="str">
        <x:v>P0221</x:v>
      </x:c>
      <x:c r="C540" s="9" t="str">
        <x:v>Био-комплекс</x:v>
      </x:c>
      <x:c r="D540" s="9" t="str">
        <x:v>РАКЕТА, Удобрение для хвойных культур (колышки)</x:v>
      </x:c>
      <x:c r="E540" s="9"/>
      <x:c r="F540" s="11" t="str">
        <x:v>https://bio-kompleks.ru/catalog/vsya_produktsiya/raketa-udobrenie-dlya-khvoynykh-kultur-kolyshki/</x:v>
      </x:c>
    </x:row>
    <x:row r="541" ht="62" customHeight="1">
      <x:c r="A541" s="9" t="str">
        <x:v>C09</x:v>
      </x:c>
      <x:c r="B541" s="9" t="str">
        <x:v>P0319</x:v>
      </x:c>
      <x:c r="C541" s="9" t="str">
        <x:v>Органик Микс</x:v>
      </x:c>
      <x:c r="D541" s="9" t="str">
        <x:v>Морской коктейль (водорастворимый) для Туй Органик Микс</x:v>
      </x:c>
      <x:c r="E541" s="9"/>
      <x:c r="F541" s="11" t="str">
        <x:v>https://organic-mix.ru/catalog/morskoy-kokteyl-vodorastvorimyy-dlya-tuy-150-g-organik-miks/</x:v>
      </x:c>
    </x:row>
    <x:row r="542" ht="62" customHeight="1">
      <x:c r="A542" s="9" t="str">
        <x:v>C09</x:v>
      </x:c>
      <x:c r="B542" s="9" t="str">
        <x:v>P0332</x:v>
      </x:c>
      <x:c r="C542" s="9" t="str">
        <x:v>Органик Микс</x:v>
      </x:c>
      <x:c r="D542" s="9" t="str">
        <x:v>Морской коктейль (жидкий) для Туй</x:v>
      </x:c>
      <x:c r="E542" s="9"/>
      <x:c r="F542" s="11" t="str">
        <x:v>https://organic-mix.ru/catalog/morskoy-kokteyl-zhidkiy-dlya-tuy-450-ml/</x:v>
      </x:c>
    </x:row>
    <x:row r="543" ht="62" customHeight="1">
      <x:c r="A543" s="9" t="str">
        <x:v>C09</x:v>
      </x:c>
      <x:c r="B543" s="9" t="str">
        <x:v>P0333</x:v>
      </x:c>
      <x:c r="C543" s="9" t="str">
        <x:v>Органик Микс</x:v>
      </x:c>
      <x:c r="D543" s="9" t="str">
        <x:v>Морской коктейль (жидкий) для Хвойных</x:v>
      </x:c>
      <x:c r="E543" s="9"/>
      <x:c r="F543" s="11" t="str">
        <x:v>https://organic-mix.ru/catalog/morskoy-kokteyl-zhidkiy-dlya-khvoynykh-450-ml/</x:v>
      </x:c>
    </x:row>
    <x:row r="544" ht="62" customHeight="1">
      <x:c r="A544" s="9" t="str">
        <x:v>C09</x:v>
      </x:c>
      <x:c r="B544" s="9" t="str">
        <x:v>P0386</x:v>
      </x:c>
      <x:c r="C544" s="9" t="str">
        <x:v>Органик Микс</x:v>
      </x:c>
      <x:c r="D544" s="9" t="str">
        <x:v>Удобрение для туй Зеленая стрела Органик Микс</x:v>
      </x:c>
      <x:c r="E544" s="9"/>
      <x:c r="F544" s="11" t="str">
        <x:v>https://organic-mix.ru/catalog/udobrenie-dlya-tuy-zelenaya-strela-organik-miks-7-kg-vedro/</x:v>
      </x:c>
    </x:row>
    <x:row r="545" ht="62" customHeight="1">
      <x:c r="A545" s="9" t="str">
        <x:v>C09</x:v>
      </x:c>
      <x:c r="B545" s="9" t="str">
        <x:v>P0387</x:v>
      </x:c>
      <x:c r="C545" s="9" t="str">
        <x:v>Органик Микс</x:v>
      </x:c>
      <x:c r="D545" s="9" t="str">
        <x:v>Удобрение для хвойных</x:v>
      </x:c>
      <x:c r="E545" s="9"/>
      <x:c r="F545" s="11" t="str">
        <x:v>https://organic-mix.ru/catalog/udobrenie-dlya-khvoynykh-organik-miks-850-gr/</x:v>
      </x:c>
    </x:row>
    <x:row r="546" ht="62" customHeight="1">
      <x:c r="A546" s="9" t="str">
        <x:v>C09</x:v>
      </x:c>
      <x:c r="B546" s="9" t="str">
        <x:v>P0412</x:v>
      </x:c>
      <x:c r="C546" s="9" t="str">
        <x:v>Органик Микс</x:v>
      </x:c>
      <x:c r="D546" s="9" t="str">
        <x:v>ЭЛИКСИР № 1 - для Туи Органик Микс (NEW)</x:v>
      </x:c>
      <x:c r="E546" s="9"/>
      <x:c r="F546" s="11" t="str">
        <x:v>https://organic-mix.ru/catalog/eliksir-1-dlya-tui-5-l-organik-miks-new/</x:v>
      </x:c>
    </x:row>
    <x:row r="547" ht="62" customHeight="1">
      <x:c r="A547" s="9" t="str">
        <x:v>C09</x:v>
      </x:c>
      <x:c r="B547" s="9" t="str">
        <x:v>P0415</x:v>
      </x:c>
      <x:c r="C547" s="9" t="str">
        <x:v>Органик Микс</x:v>
      </x:c>
      <x:c r="D547" s="9" t="str">
        <x:v>ЭЛИКСИР № 1 - для Хвойных Органик Микс (NEW)</x:v>
      </x:c>
      <x:c r="E547" s="9"/>
      <x:c r="F547" s="11" t="str">
        <x:v>https://organic-mix.ru/catalog/eliksir-1-dlya-khvoynykh-5-l-organik-miks-new/</x:v>
      </x:c>
    </x:row>
    <x:row r="548" ht="62" customHeight="1">
      <x:c r="A548" s="9" t="str">
        <x:v>C09</x:v>
      </x:c>
      <x:c r="B548" s="9" t="str">
        <x:v>P0631</x:v>
      </x:c>
      <x:c r="C548" s="9" t="str">
        <x:v>БашИнком</x:v>
      </x:c>
      <x:c r="D548" s="9" t="str">
        <x:v>Гуми–Оми Хвойные</x:v>
      </x:c>
      <x:c r="E548" s="9"/>
      <x:c r="F548" s="11" t="str">
        <x:v>https://www.bashinkom.ru/products/ojz/KHvoynyeGumiOMI05kg</x:v>
      </x:c>
    </x:row>
    <x:row r="549" ht="62" customHeight="1">
      <x:c r="A549" s="9" t="str">
        <x:v>C09</x:v>
      </x:c>
      <x:c r="B549" s="9" t="str">
        <x:v>P0684</x:v>
      </x:c>
      <x:c r="C549" s="9" t="str">
        <x:v>БашИнком</x:v>
      </x:c>
      <x:c r="D549" s="9" t="str">
        <x:v>Пробиогранулы "Хвойные"</x:v>
      </x:c>
      <x:c r="E549" s="9"/>
      <x:c r="F549" s="11" t="str">
        <x:v>https://www.bashinkom.ru/products/ojz/ProbiogranulyKHvoynye</x:v>
      </x:c>
    </x:row>
    <x:row r="550" ht="62" customHeight="1">
      <x:c r="A550" s="9" t="str">
        <x:v>C09</x:v>
      </x:c>
      <x:c r="B550" s="9" t="str">
        <x:v>P0690</x:v>
      </x:c>
      <x:c r="C550" s="9" t="str">
        <x:v>БашИнком</x:v>
      </x:c>
      <x:c r="D550" s="9" t="str">
        <x:v>ПРОБИОГРАНУЛЫ-PGPR Хвойные NPK 5:4:7 + МЭ + PGPR-бактерии</x:v>
      </x:c>
      <x:c r="E550" s="9"/>
      <x:c r="F550" s="11" t="str">
        <x:v>https://www.bashinkom.ru/products/prodecor/PROBIOGRANULYPGPRKHvoynyeNPK547MEPGPRbakterii</x:v>
      </x:c>
    </x:row>
    <x:row r="551" ht="62" customHeight="1">
      <x:c r="A551" s="9" t="str">
        <x:v>C10</x:v>
      </x:c>
      <x:c r="B551" s="9" t="str">
        <x:v>P0002</x:v>
      </x:c>
      <x:c r="C551" s="9" t="str">
        <x:v>Аминосил</x:v>
      </x:c>
      <x:c r="D551" s="9" t="str">
        <x:v>Витамины для газона в гранулах</x:v>
      </x:c>
      <x:c r="E551" s="9"/>
      <x:c r="F551" s="11" t="str">
        <x:v>https://aminosil.ru/vitamini-dlya-gazona-v-granulah</x:v>
      </x:c>
    </x:row>
    <x:row r="552" ht="62" customHeight="1">
      <x:c r="A552" s="9" t="str">
        <x:v>C10</x:v>
      </x:c>
      <x:c r="B552" s="9" t="str">
        <x:v>P0003</x:v>
      </x:c>
      <x:c r="C552" s="9" t="str">
        <x:v>Аминосил</x:v>
      </x:c>
      <x:c r="D552" s="9" t="str">
        <x:v>Витамины для газонов в форме концентрата</x:v>
      </x:c>
      <x:c r="E552" s="9"/>
      <x:c r="F552" s="11" t="str">
        <x:v>https://aminosil.ru/vitamini-dlya-gazonov-v-forme-kontsentrata</x:v>
      </x:c>
    </x:row>
    <x:row r="553" ht="62" customHeight="1">
      <x:c r="A553" s="9" t="str">
        <x:v>C10</x:v>
      </x:c>
      <x:c r="B553" s="9" t="str">
        <x:v>P0133</x:v>
      </x:c>
      <x:c r="C553" s="9" t="str">
        <x:v>Био-комплекс</x:v>
      </x:c>
      <x:c r="D553" s="9" t="str">
        <x:v>БИО-комплекс, ТМ Листория, Газон</x:v>
      </x:c>
      <x:c r="E553" s="9"/>
      <x:c r="F553" s="11" t="str">
        <x:v>https://bio-kompleks.ru/catalog/vsya_produktsiya/bio_kompleks_tm_listoriya_gazon_professionalnoe_mineralnoe_udobrenie_npk_19_19_19/</x:v>
      </x:c>
    </x:row>
    <x:row r="554" ht="62" customHeight="1">
      <x:c r="A554" s="9" t="str">
        <x:v>C10</x:v>
      </x:c>
      <x:c r="B554" s="9" t="str">
        <x:v>P0365</x:v>
      </x:c>
      <x:c r="C554" s="9" t="str">
        <x:v>Органик Микс</x:v>
      </x:c>
      <x:c r="D554" s="9" t="str">
        <x:v>Удобрение для газона "Бельгийская серия"</x:v>
      </x:c>
      <x:c r="E554" s="9"/>
      <x:c r="F554" s="11" t="str">
        <x:v>https://organic-mix.ru/catalog/udobrenie-dlya-gazona-belgiyskaya-seriya-750-gr/</x:v>
      </x:c>
    </x:row>
    <x:row r="555" ht="62" customHeight="1">
      <x:c r="A555" s="9" t="str">
        <x:v>C10</x:v>
      </x:c>
      <x:c r="B555" s="9" t="str">
        <x:v>P0366</x:v>
      </x:c>
      <x:c r="C555" s="9" t="str">
        <x:v>Органик Микс</x:v>
      </x:c>
      <x:c r="D555" s="9" t="str">
        <x:v>Удобрение для газона Антимох "Бельгийская серия"</x:v>
      </x:c>
      <x:c r="E555" s="9"/>
      <x:c r="F555" s="11" t="str">
        <x:v>https://organic-mix.ru/catalog/udobrenie-dlya-gazona-antimokh-belgiyskaya-seriya-750-gr/</x:v>
      </x:c>
    </x:row>
    <x:row r="556" ht="62" customHeight="1">
      <x:c r="A556" s="9" t="str">
        <x:v>C10</x:v>
      </x:c>
      <x:c r="B556" s="9" t="str">
        <x:v>P0367</x:v>
      </x:c>
      <x:c r="C556" s="9" t="str">
        <x:v>Органик Микс</x:v>
      </x:c>
      <x:c r="D556" s="9" t="str">
        <x:v>Удобрение для газона Весна-Лето Органик Микс</x:v>
      </x:c>
      <x:c r="E556" s="9"/>
      <x:c r="F556" s="11" t="str">
        <x:v>https://organic-mix.ru/catalog/udobrenie-dlya-gazona-organik-miks-25-kg/</x:v>
      </x:c>
    </x:row>
    <x:row r="557" ht="62" customHeight="1">
      <x:c r="A557" s="9" t="str">
        <x:v>C10</x:v>
      </x:c>
      <x:c r="B557" s="9" t="str">
        <x:v>P0368</x:v>
      </x:c>
      <x:c r="C557" s="9" t="str">
        <x:v>Органик Микс</x:v>
      </x:c>
      <x:c r="D557" s="9" t="str">
        <x:v>Удобрение для газона Осень</x:v>
      </x:c>
      <x:c r="E557" s="9"/>
      <x:c r="F557" s="11" t="str">
        <x:v>https://organic-mix.ru/catalog/udobrenie-dlya-gazona-osen-organik-miks-7-kg-vedro/</x:v>
      </x:c>
    </x:row>
    <x:row r="558" ht="62" customHeight="1">
      <x:c r="A558" s="9" t="str">
        <x:v>C10</x:v>
      </x:c>
      <x:c r="B558" s="9" t="str">
        <x:v>P0575</x:v>
      </x:c>
      <x:c r="C558" s="9" t="str">
        <x:v>БашИнком</x:v>
      </x:c>
      <x:c r="D558" s="9" t="str">
        <x:v>Богатый Газон-Цветы</x:v>
      </x:c>
      <x:c r="E558" s="9"/>
      <x:c r="F558" s="11" t="str">
        <x:v>https://www.bashinkom.ru/products/ojz/BOGATYYGazonTSvety05l</x:v>
      </x:c>
    </x:row>
    <x:row r="559" ht="62" customHeight="1">
      <x:c r="A559" s="9" t="str">
        <x:v>C10</x:v>
      </x:c>
      <x:c r="B559" s="9" t="str">
        <x:v>P0634</x:v>
      </x:c>
      <x:c r="C559" s="9" t="str">
        <x:v>БашИнком</x:v>
      </x:c>
      <x:c r="D559" s="9" t="str">
        <x:v>Гуми–Оми, Богатейшее удобрение газон</x:v>
      </x:c>
      <x:c r="E559" s="9"/>
      <x:c r="F559" s="11" t="str">
        <x:v>https://www.bashinkom.ru/products/ojz/GAZONGumiOMIBOGATEYSHEEudobrenie1kg</x:v>
      </x:c>
    </x:row>
    <x:row r="560" ht="62" customHeight="1">
      <x:c r="A560" s="9" t="str">
        <x:v>C11</x:v>
      </x:c>
      <x:c r="B560" s="9" t="str">
        <x:v>P0009</x:v>
      </x:c>
      <x:c r="C560" s="9" t="str">
        <x:v>Аминосил</x:v>
      </x:c>
      <x:c r="D560" s="9" t="str">
        <x:v>Витамины для декоративно-лиственных растений в форме геля</x:v>
      </x:c>
      <x:c r="E560" s="9"/>
      <x:c r="F560" s="11" t="str">
        <x:v>https://aminosil.ru/vitamini-dlya-dekorativno-listvennih-rasteniy-gel</x:v>
      </x:c>
    </x:row>
    <x:row r="561" ht="62" customHeight="1">
      <x:c r="A561" s="9" t="str">
        <x:v>C11</x:v>
      </x:c>
      <x:c r="B561" s="9" t="str">
        <x:v>P0010</x:v>
      </x:c>
      <x:c r="C561" s="9" t="str">
        <x:v>Аминосил</x:v>
      </x:c>
      <x:c r="D561" s="9" t="str">
        <x:v>Витамины для декоративно-лиственных растений в форме гранул</x:v>
      </x:c>
      <x:c r="E561" s="9"/>
      <x:c r="F561" s="11" t="str">
        <x:v>https://aminosil.ru/vitamini-dlya-dekorativno-listvennih-rasteniy-v-granulah</x:v>
      </x:c>
    </x:row>
    <x:row r="562" ht="62" customHeight="1">
      <x:c r="A562" s="9" t="str">
        <x:v>C11</x:v>
      </x:c>
      <x:c r="B562" s="9" t="str">
        <x:v>P0011</x:v>
      </x:c>
      <x:c r="C562" s="9" t="str">
        <x:v>Аминосил</x:v>
      </x:c>
      <x:c r="D562" s="9" t="str">
        <x:v>Витамины для декоративно-лиственных растений в форме концентрата</x:v>
      </x:c>
      <x:c r="E562" s="9"/>
      <x:c r="F562" s="11" t="str">
        <x:v>https://aminosil.ru/vitamini-dlya-dekorativno-listvennih-rasteniy-koncentrat</x:v>
      </x:c>
    </x:row>
    <x:row r="563" ht="62" customHeight="1">
      <x:c r="A563" s="9" t="str">
        <x:v>C11</x:v>
      </x:c>
      <x:c r="B563" s="9" t="str">
        <x:v>P0012</x:v>
      </x:c>
      <x:c r="C563" s="9" t="str">
        <x:v>Аминосил</x:v>
      </x:c>
      <x:c r="D563" s="9" t="str">
        <x:v>Витамины для замиокулькаса в форме концентрата</x:v>
      </x:c>
      <x:c r="E563" s="9"/>
      <x:c r="F563" s="11" t="str">
        <x:v>https://aminosil.ru/vitaminy-dlya-zamiokulkasa-v-forme-koncentrata</x:v>
      </x:c>
    </x:row>
    <x:row r="564" ht="62" customHeight="1">
      <x:c r="A564" s="9" t="str">
        <x:v>C11</x:v>
      </x:c>
      <x:c r="B564" s="9" t="str">
        <x:v>P0055</x:v>
      </x:c>
      <x:c r="C564" s="9" t="str">
        <x:v>Аминосил</x:v>
      </x:c>
      <x:c r="D564" s="9" t="str">
        <x:v>Спрей Аминосил для лиственных растений</x:v>
      </x:c>
      <x:c r="E564" s="9"/>
      <x:c r="F564" s="11" t="str">
        <x:v>https://aminosil.ru/sprei-aminosil-dlya-listvennih-rastenii</x:v>
      </x:c>
    </x:row>
    <x:row r="565" ht="62" customHeight="1">
      <x:c r="A565" s="9" t="str">
        <x:v>C11</x:v>
      </x:c>
      <x:c r="B565" s="9" t="str">
        <x:v>P0102</x:v>
      </x:c>
      <x:c r="C565" s="9" t="str">
        <x:v>Био-комплекс</x:v>
      </x:c>
      <x:c r="D565" s="9" t="str">
        <x:v>БИО-комплекс Удобрение для антуриума, Секрет счастья</x:v>
      </x:c>
      <x:c r="E565" s="9"/>
      <x:c r="F565" s="11" t="str">
        <x:v>https://bio-kompleks.ru/catalog/vsya_produktsiya/bio_kompleks_udobrenie_dlya_anturiuma_sekret_schastya_75_g_16/</x:v>
      </x:c>
    </x:row>
    <x:row r="566" ht="62" customHeight="1">
      <x:c r="A566" s="9" t="str">
        <x:v>C11</x:v>
      </x:c>
      <x:c r="B566" s="9" t="str">
        <x:v>P0103</x:v>
      </x:c>
      <x:c r="C566" s="9" t="str">
        <x:v>Био-комплекс</x:v>
      </x:c>
      <x:c r="D566" s="9" t="str">
        <x:v>БИО-комплекс Удобрение для замиокулькаса, Секрет счастья</x:v>
      </x:c>
      <x:c r="E566" s="9"/>
      <x:c r="F566" s="11" t="str">
        <x:v>https://bio-kompleks.ru/catalog/vsya_produktsiya/bio_kompleks_udobrenie_dlya_zamiokulkasa_sekret_schastya_75_g_16/</x:v>
      </x:c>
    </x:row>
    <x:row r="567" ht="62" customHeight="1">
      <x:c r="A567" s="9" t="str">
        <x:v>C11</x:v>
      </x:c>
      <x:c r="B567" s="9" t="str">
        <x:v>P0105</x:v>
      </x:c>
      <x:c r="C567" s="9" t="str">
        <x:v>Био-комплекс</x:v>
      </x:c>
      <x:c r="D567" s="9" t="str">
        <x:v>БИО-комплекс Удобрение для спатифиллума, Секрет счастья</x:v>
      </x:c>
      <x:c r="E567" s="9"/>
      <x:c r="F567" s="11" t="str">
        <x:v>https://bio-kompleks.ru/catalog/vsya_produktsiya/bio_kompleks_udobrenie_dlya_spatifilluma_sekret_schastya_75_g_16/</x:v>
      </x:c>
    </x:row>
    <x:row r="568" ht="62" customHeight="1">
      <x:c r="A568" s="9" t="str">
        <x:v>C11</x:v>
      </x:c>
      <x:c r="B568" s="9" t="str">
        <x:v>P0108</x:v>
      </x:c>
      <x:c r="C568" s="9" t="str">
        <x:v>Био-комплекс</x:v>
      </x:c>
      <x:c r="D568" s="9" t="str">
        <x:v>БИО-комплекс Удобрение Здоровая листва, Секрет счастья</x:v>
      </x:c>
      <x:c r="E568" s="9"/>
      <x:c r="F568" s="11" t="str">
        <x:v>https://bio-kompleks.ru/catalog/vsya_produktsiya/bio_kompleks_udobrenie_zdorovaya_listva_sekret_schastya_75_g_16_nf_00002013_r_10_01_000007/</x:v>
      </x:c>
    </x:row>
    <x:row r="569" ht="62" customHeight="1">
      <x:c r="A569" s="9" t="str">
        <x:v>C11</x:v>
      </x:c>
      <x:c r="B569" s="9" t="str">
        <x:v>P0143</x:v>
      </x:c>
      <x:c r="C569" s="9" t="str">
        <x:v>Био-комплекс</x:v>
      </x:c>
      <x:c r="D569" s="9" t="str">
        <x:v>Биококтейль для адениума, комнатный фэншуй ТМ HAPPY</x:v>
      </x:c>
      <x:c r="E569" s="9"/>
      <x:c r="F569" s="11" t="str">
        <x:v>https://bio-kompleks.ru/catalog/vsya_produktsiya/biokokteyl_dlya_adeniuma_komnatnyy_fenshuy_tm_happy/</x:v>
      </x:c>
    </x:row>
    <x:row r="570" ht="62" customHeight="1">
      <x:c r="A570" s="9" t="str">
        <x:v>C11</x:v>
      </x:c>
      <x:c r="B570" s="9" t="str">
        <x:v>P0144</x:v>
      </x:c>
      <x:c r="C570" s="9" t="str">
        <x:v>Био-комплекс</x:v>
      </x:c>
      <x:c r="D570" s="9" t="str">
        <x:v>Биококтейль для алоказии, комнатный фэншуй ТМ HAPPY</x:v>
      </x:c>
      <x:c r="E570" s="9"/>
      <x:c r="F570" s="11" t="str">
        <x:v>https://bio-kompleks.ru/catalog/vsya_produktsiya/biokokteyl-dlya-alokazii-komnatnyy-fenshuy-tm-happy/</x:v>
      </x:c>
    </x:row>
    <x:row r="571" ht="62" customHeight="1">
      <x:c r="A571" s="9" t="str">
        <x:v>C11</x:v>
      </x:c>
      <x:c r="B571" s="9" t="str">
        <x:v>P0145</x:v>
      </x:c>
      <x:c r="C571" s="9" t="str">
        <x:v>Био-комплекс</x:v>
      </x:c>
      <x:c r="D571" s="9" t="str">
        <x:v>Биококтейль для антуриума, комнатный фэншуй ТМ HAPPY</x:v>
      </x:c>
      <x:c r="E571" s="9"/>
      <x:c r="F571" s="11" t="str">
        <x:v>https://bio-kompleks.ru/catalog/vsya_produktsiya/biokokteyl-dlya-anturiuma-komnatnyy-fenshuy-tm-happy/</x:v>
      </x:c>
    </x:row>
    <x:row r="572" ht="62" customHeight="1">
      <x:c r="A572" s="9" t="str">
        <x:v>C11</x:v>
      </x:c>
      <x:c r="B572" s="9" t="str">
        <x:v>P0149</x:v>
      </x:c>
      <x:c r="C572" s="9" t="str">
        <x:v>Био-комплекс</x:v>
      </x:c>
      <x:c r="D572" s="9" t="str">
        <x:v>Биококтейль для замиокулькаса, комнатный фэншуй ТМ HAPPY</x:v>
      </x:c>
      <x:c r="E572" s="9"/>
      <x:c r="F572" s="11" t="str">
        <x:v>https://bio-kompleks.ru/catalog/vsya_produktsiya/biokokteyl-dlya-zamiokulkasa-komnatnyy-fenshuy-tm-happy/</x:v>
      </x:c>
    </x:row>
    <x:row r="573" ht="62" customHeight="1">
      <x:c r="A573" s="9" t="str">
        <x:v>C11</x:v>
      </x:c>
      <x:c r="B573" s="9" t="str">
        <x:v>P0153</x:v>
      </x:c>
      <x:c r="C573" s="9" t="str">
        <x:v>Био-комплекс</x:v>
      </x:c>
      <x:c r="D573" s="9" t="str">
        <x:v>БИОкоктейль для комнатной зелени ТМ ВитаминУС</x:v>
      </x:c>
      <x:c r="E573" s="9"/>
      <x:c r="F573" s="11" t="str">
        <x:v>https://bio-kompleks.ru/catalog/vsya_produktsiya/biokokteyl-dlya-komnatnoy-zeleni-tm-vitaminus/</x:v>
      </x:c>
    </x:row>
    <x:row r="574" ht="62" customHeight="1">
      <x:c r="A574" s="9" t="str">
        <x:v>C11</x:v>
      </x:c>
      <x:c r="B574" s="9" t="str">
        <x:v>P0154</x:v>
      </x:c>
      <x:c r="C574" s="9" t="str">
        <x:v>Био-комплекс</x:v>
      </x:c>
      <x:c r="D574" s="9" t="str">
        <x:v>Биококтейль для комнатной розы, комнатный фэншуй ТМ HAPPY</x:v>
      </x:c>
      <x:c r="E574" s="9"/>
      <x:c r="F574" s="11" t="str">
        <x:v>https://bio-kompleks.ru/catalog/vsya_produktsiya/biokokteyl-dlya-komnatnoy-rozy-komnatnyy-fenshuy-tm-happy/</x:v>
      </x:c>
    </x:row>
    <x:row r="575" ht="62" customHeight="1">
      <x:c r="A575" s="9" t="str">
        <x:v>C11</x:v>
      </x:c>
      <x:c r="B575" s="9" t="str">
        <x:v>P0155</x:v>
      </x:c>
      <x:c r="C575" s="9" t="str">
        <x:v>Био-комплекс</x:v>
      </x:c>
      <x:c r="D575" s="9" t="str">
        <x:v>БИОкоктейль для комнатных огурчиков ТМ ВитаминУС</x:v>
      </x:c>
      <x:c r="E575" s="9"/>
      <x:c r="F575" s="11" t="str">
        <x:v>https://bio-kompleks.ru/catalog/vsya_produktsiya/biokokteyl-dlya-komnatnykh-ogurchikov-tm-vitaminus/</x:v>
      </x:c>
    </x:row>
    <x:row r="576" ht="62" customHeight="1">
      <x:c r="A576" s="9" t="str">
        <x:v>C11</x:v>
      </x:c>
      <x:c r="B576" s="9" t="str">
        <x:v>P0156</x:v>
      </x:c>
      <x:c r="C576" s="9" t="str">
        <x:v>Био-комплекс</x:v>
      </x:c>
      <x:c r="D576" s="9" t="str">
        <x:v>БИОкоктейль для комнатных помидорчиков и перчиков ТМ ВитаминУС</x:v>
      </x:c>
      <x:c r="E576" s="9"/>
      <x:c r="F576" s="11" t="str">
        <x:v>https://bio-kompleks.ru/catalog/vsya_produktsiya/biokokteyl-dlya-komnatnykh-pomidorchikov-i-perchikov-tm-vitaminus/</x:v>
      </x:c>
    </x:row>
    <x:row r="577" ht="62" customHeight="1">
      <x:c r="A577" s="9" t="str">
        <x:v>C11</x:v>
      </x:c>
      <x:c r="B577" s="9" t="str">
        <x:v>P0159</x:v>
      </x:c>
      <x:c r="C577" s="9" t="str">
        <x:v>Био-комплекс</x:v>
      </x:c>
      <x:c r="D577" s="9" t="str">
        <x:v>Биококтейль для орхидеи, комнатный фэншуй ТМ HAPPY</x:v>
      </x:c>
      <x:c r="E577" s="9"/>
      <x:c r="F577" s="11" t="str">
        <x:v>https://bio-kompleks.ru/catalog/vsya_produktsiya/biokokteyl-dlya-orkhidei-komnatnyy-fenshuy-tm-happy/</x:v>
      </x:c>
    </x:row>
    <x:row r="578" ht="62" customHeight="1">
      <x:c r="A578" s="9" t="str">
        <x:v>C11</x:v>
      </x:c>
      <x:c r="B578" s="9" t="str">
        <x:v>P0165</x:v>
      </x:c>
      <x:c r="C578" s="9" t="str">
        <x:v>Био-комплекс</x:v>
      </x:c>
      <x:c r="D578" s="9" t="str">
        <x:v>Биококтейль для спатифиллума, комнатный фэншуй ТМ HAPPY</x:v>
      </x:c>
      <x:c r="E578" s="9"/>
      <x:c r="F578" s="11" t="str">
        <x:v>https://bio-kompleks.ru/catalog/vsya_produktsiya/biokokteyl-dlya-spatifilluma-komnatnyy-fenshuy-tm-happy/</x:v>
      </x:c>
    </x:row>
    <x:row r="579" ht="62" customHeight="1">
      <x:c r="A579" s="9" t="str">
        <x:v>C11</x:v>
      </x:c>
      <x:c r="B579" s="9" t="str">
        <x:v>P0166</x:v>
      </x:c>
      <x:c r="C579" s="9" t="str">
        <x:v>Био-комплекс</x:v>
      </x:c>
      <x:c r="D579" s="9" t="str">
        <x:v>Биококтейль для толстянки, комнатный фэншуй ТМ HAPPY</x:v>
      </x:c>
      <x:c r="E579" s="9"/>
      <x:c r="F579" s="11" t="str">
        <x:v>https://bio-kompleks.ru/catalog/vsya_produktsiya/biokokteyl-dlya-tolstyanki-komnatnyy-fenshuy-tm-happy/</x:v>
      </x:c>
    </x:row>
    <x:row r="580" ht="62" customHeight="1">
      <x:c r="A580" s="9" t="str">
        <x:v>C11</x:v>
      </x:c>
      <x:c r="B580" s="9" t="str">
        <x:v>P0168</x:v>
      </x:c>
      <x:c r="C580" s="9" t="str">
        <x:v>Био-комплекс</x:v>
      </x:c>
      <x:c r="D580" s="9" t="str">
        <x:v>Биококтейль для фиалки, комнатный фэншуй ТМ HAPPY</x:v>
      </x:c>
      <x:c r="E580" s="9"/>
      <x:c r="F580" s="11" t="str">
        <x:v>https://bio-kompleks.ru/catalog/vsya_produktsiya/biokokteyl-dlya-fialki-komnatnyy-fenshuy-tm-happy/</x:v>
      </x:c>
    </x:row>
    <x:row r="581" ht="62" customHeight="1">
      <x:c r="A581" s="9" t="str">
        <x:v>C11</x:v>
      </x:c>
      <x:c r="B581" s="9" t="str">
        <x:v>P0170</x:v>
      </x:c>
      <x:c r="C581" s="9" t="str">
        <x:v>Био-комплекс</x:v>
      </x:c>
      <x:c r="D581" s="9" t="str">
        <x:v>Биококтейль для цитрусовых, комнатный фэншуй ТМ HAPPY</x:v>
      </x:c>
      <x:c r="E581" s="9"/>
      <x:c r="F581" s="11" t="str">
        <x:v>https://bio-kompleks.ru/catalog/vsya_produktsiya/biokokteyl-dlya-tsitrusovykh-komnatnyy-fenshuy-tm-happy/</x:v>
      </x:c>
    </x:row>
    <x:row r="582" ht="62" customHeight="1">
      <x:c r="A582" s="9" t="str">
        <x:v>C11</x:v>
      </x:c>
      <x:c r="B582" s="9" t="str">
        <x:v>P0171</x:v>
      </x:c>
      <x:c r="C582" s="9" t="str">
        <x:v>Био-комплекс</x:v>
      </x:c>
      <x:c r="D582" s="9" t="str">
        <x:v>БИОкоктейль Здоровая листва для комнатных растений ТМ HAPPY</x:v>
      </x:c>
      <x:c r="E582" s="9"/>
      <x:c r="F582" s="11" t="str">
        <x:v>https://bio-kompleks.ru/catalog/vsya_produktsiya/biokokteyl_zdorovaya_listva_dlya_komnatnykh_rasteniy_tm_happy/</x:v>
      </x:c>
    </x:row>
    <x:row r="583" ht="62" customHeight="1">
      <x:c r="A583" s="9" t="str">
        <x:v>C11</x:v>
      </x:c>
      <x:c r="B583" s="9" t="str">
        <x:v>P0172</x:v>
      </x:c>
      <x:c r="C583" s="9" t="str">
        <x:v>Био-комплекс</x:v>
      </x:c>
      <x:c r="D583" s="9" t="str">
        <x:v>БИОкоктейль Здоровая листва для комнатных растений ТМ БИОША</x:v>
      </x:c>
      <x:c r="E583" s="9"/>
      <x:c r="F583" s="11" t="str">
        <x:v>https://bio-kompleks.ru/catalog/vsya_produktsiya/biokokteyl-zdorovaya-listva-dlya-komnatnykh-rasteniy-tm-biosha/</x:v>
      </x:c>
    </x:row>
    <x:row r="584" ht="62" customHeight="1">
      <x:c r="A584" s="9" t="str">
        <x:v>C11</x:v>
      </x:c>
      <x:c r="B584" s="9" t="str">
        <x:v>P0174</x:v>
      </x:c>
      <x:c r="C584" s="9" t="str">
        <x:v>Био-комплекс</x:v>
      </x:c>
      <x:c r="D584" s="9" t="str">
        <x:v>Биококтейль Пышное цветение для комнатных растений ТМ HAPPY</x:v>
      </x:c>
      <x:c r="E584" s="9"/>
      <x:c r="F584" s="11" t="str">
        <x:v>https://bio-kompleks.ru/catalog/vsya_produktsiya/biokokteyl_pyshnoe_tsvetenie_dlya_komnatnykh_rasteniy_tm_happy/</x:v>
      </x:c>
    </x:row>
    <x:row r="585" ht="62" customHeight="1">
      <x:c r="A585" s="9" t="str">
        <x:v>C11</x:v>
      </x:c>
      <x:c r="B585" s="9" t="str">
        <x:v>P0314</x:v>
      </x:c>
      <x:c r="C585" s="9" t="str">
        <x:v>Органик Микс</x:v>
      </x:c>
      <x:c r="D585" s="9" t="str">
        <x:v>Морской коктейль (водорастворимый) для Комнатных растений Органик Микс</x:v>
      </x:c>
      <x:c r="E585" s="9"/>
      <x:c r="F585" s="11" t="str">
        <x:v>https://organic-mix.ru/catalog/morskoy-kokteyl-vodorastvorimyy-dlya-komnatnykh-rasteniy-150-g-organik-miks/</x:v>
      </x:c>
    </x:row>
    <x:row r="586" ht="62" customHeight="1">
      <x:c r="A586" s="9" t="str">
        <x:v>C11</x:v>
      </x:c>
      <x:c r="B586" s="9" t="str">
        <x:v>P0335</x:v>
      </x:c>
      <x:c r="C586" s="9" t="str">
        <x:v>Органик Микс</x:v>
      </x:c>
      <x:c r="D586" s="9" t="str">
        <x:v>Морской коктейль Гель для Комнатных растений</x:v>
      </x:c>
      <x:c r="E586" s="9"/>
      <x:c r="F586" s="11" t="str">
        <x:v>https://organic-mix.ru/catalog/morskoy-kokteyl-gel-dlya-komnatnykh-rasteniy-250-ml/</x:v>
      </x:c>
    </x:row>
    <x:row r="587" ht="62" customHeight="1">
      <x:c r="A587" s="9" t="str">
        <x:v>C11</x:v>
      </x:c>
      <x:c r="B587" s="9" t="str">
        <x:v>P0338</x:v>
      </x:c>
      <x:c r="C587" s="9" t="str">
        <x:v>Органик Микс</x:v>
      </x:c>
      <x:c r="D587" s="9" t="str">
        <x:v>Морской коктейль Тоник для Комнатных растений (СПРЕЙ)</x:v>
      </x:c>
      <x:c r="E587" s="9"/>
      <x:c r="F587" s="11" t="str">
        <x:v>https://organic-mix.ru/catalog/morskoy-kokteyl-tonik-dlya-komnatnykh-rasteniy-sprey-450-ml-/</x:v>
      </x:c>
    </x:row>
    <x:row r="588" ht="62" customHeight="1">
      <x:c r="A588" s="9" t="str">
        <x:v>C11</x:v>
      </x:c>
      <x:c r="B588" s="9" t="str">
        <x:v>P0400</x:v>
      </x:c>
      <x:c r="C588" s="9" t="str">
        <x:v>Органик Микс</x:v>
      </x:c>
      <x:c r="D588" s="9" t="str">
        <x:v>ЭЛИКСИР № 1 - для Комнатных растений Органик Микс (NEW)</x:v>
      </x:c>
      <x:c r="E588" s="9"/>
      <x:c r="F588" s="11" t="str">
        <x:v>https://organic-mix.ru/catalog/eliksir-1-dlya-komnatnykh-rasteniy-900-ml-new/</x:v>
      </x:c>
    </x:row>
    <x:row r="589" ht="62" customHeight="1">
      <x:c r="A589" s="9" t="str">
        <x:v>C11</x:v>
      </x:c>
      <x:c r="B589" s="9" t="str">
        <x:v>P0579</x:v>
      </x:c>
      <x:c r="C589" s="9" t="str">
        <x:v>БашИнком</x:v>
      </x:c>
      <x:c r="D589" s="9" t="str">
        <x:v>БОГАТЫЙ–ДОМ – комплексное, биоактивированное удобрение</x:v>
      </x:c>
      <x:c r="E589" s="9"/>
      <x:c r="F589" s="11" t="str">
        <x:v>https://www.bashinkom.ru/products/ojz/BOGATYYDOMkompleksnoebioaktivirovannoeudobrenie02l</x:v>
      </x:c>
    </x:row>
    <x:row r="590" ht="62" customHeight="1">
      <x:c r="A590" s="9" t="str">
        <x:v>C11</x:v>
      </x:c>
      <x:c r="B590" s="9" t="str">
        <x:v>P0615</x:v>
      </x:c>
      <x:c r="C590" s="9" t="str">
        <x:v>БашИнком</x:v>
      </x:c>
      <x:c r="D590" s="9" t="str">
        <x:v>Гуми–Оми Лианы</x:v>
      </x:c>
      <x:c r="E590" s="9"/>
      <x:c r="F590" s="11" t="str">
        <x:v>https://www.bashinkom.ru/products/ojz/LIANYGumiOMI50g</x:v>
      </x:c>
    </x:row>
    <x:row r="591" ht="62" customHeight="1">
      <x:c r="A591" s="9" t="str">
        <x:v>C11</x:v>
      </x:c>
      <x:c r="B591" s="9" t="str">
        <x:v>P0648</x:v>
      </x:c>
      <x:c r="C591" s="9" t="str">
        <x:v>БашИнком</x:v>
      </x:c>
      <x:c r="D591" s="9" t="str">
        <x:v>Комплексное универсальное удобрение для комнатных растений Бионекс-Кеми водорастворимый</x:v>
      </x:c>
      <x:c r="E591" s="9"/>
      <x:c r="F591" s="11" t="str">
        <x:v>https://www.bashinkom.ru/products/ojz/KompleksnoeuniversalnoeudobreniedlyakomnatnykhrasteniyBioneksKemivodorastvorimyy50g</x:v>
      </x:c>
    </x:row>
    <x:row r="592" ht="62" customHeight="1">
      <x:c r="A592" s="9" t="str">
        <x:v>C11</x:v>
      </x:c>
      <x:c r="B592" s="9" t="str">
        <x:v>P0682</x:v>
      </x:c>
      <x:c r="C592" s="9" t="str">
        <x:v>БашИнком</x:v>
      </x:c>
      <x:c r="D592" s="9" t="str">
        <x:v>Пробиогранулы "Комнатные цветы"</x:v>
      </x:c>
      <x:c r="E592" s="9"/>
      <x:c r="F592" s="11" t="str">
        <x:v>https://www.bashinkom.ru/products/ojz/UdobreniegranulirovannoeprolongirovannoeKomnatnyetsvety02kg</x:v>
      </x:c>
    </x:row>
    <x:row r="593" ht="62" customHeight="1">
      <x:c r="A593" s="9" t="str">
        <x:v>C12</x:v>
      </x:c>
      <x:c r="B593" s="9" t="str">
        <x:v>P0024</x:v>
      </x:c>
      <x:c r="C593" s="9" t="str">
        <x:v>Аминосил</x:v>
      </x:c>
      <x:c r="D593" s="9" t="str">
        <x:v>Витамины для орхидей в гранулах</x:v>
      </x:c>
      <x:c r="E593" s="9"/>
      <x:c r="F593" s="11" t="str">
        <x:v>https://aminosil.ru/vitamini-dlya-orhidei-v-granulah</x:v>
      </x:c>
    </x:row>
    <x:row r="594" ht="62" customHeight="1">
      <x:c r="A594" s="9" t="str">
        <x:v>C12</x:v>
      </x:c>
      <x:c r="B594" s="9" t="str">
        <x:v>P0025</x:v>
      </x:c>
      <x:c r="C594" s="9" t="str">
        <x:v>Аминосил</x:v>
      </x:c>
      <x:c r="D594" s="9" t="str">
        <x:v>Витамины для орхидей в форме геля</x:v>
      </x:c>
      <x:c r="E594" s="9"/>
      <x:c r="F594" s="11" t="str">
        <x:v>https://aminosil.ru/vitamini-dlya-orhidei-v-forme-gelya</x:v>
      </x:c>
    </x:row>
    <x:row r="595" ht="62" customHeight="1">
      <x:c r="A595" s="9" t="str">
        <x:v>C12</x:v>
      </x:c>
      <x:c r="B595" s="9" t="str">
        <x:v>P0026</x:v>
      </x:c>
      <x:c r="C595" s="9" t="str">
        <x:v>Аминосил</x:v>
      </x:c>
      <x:c r="D595" s="9" t="str">
        <x:v>Витамины для орхидей в форме концентрата</x:v>
      </x:c>
      <x:c r="E595" s="9"/>
      <x:c r="F595" s="11" t="str">
        <x:v>https://aminosil.ru/vitamini-dlya-orhidei-v-forme-kontsentra</x:v>
      </x:c>
    </x:row>
    <x:row r="596" ht="62" customHeight="1">
      <x:c r="A596" s="9" t="str">
        <x:v>C12</x:v>
      </x:c>
      <x:c r="B596" s="9" t="str">
        <x:v>P0056</x:v>
      </x:c>
      <x:c r="C596" s="9" t="str">
        <x:v>Аминосил</x:v>
      </x:c>
      <x:c r="D596" s="9" t="str">
        <x:v>Спрей Аминосил для Орхидей</x:v>
      </x:c>
      <x:c r="E596" s="9"/>
      <x:c r="F596" s="11" t="str">
        <x:v>https://aminosil.ru/sprei-aminosil-dlya-orhidei</x:v>
      </x:c>
    </x:row>
    <x:row r="597" ht="62" customHeight="1">
      <x:c r="A597" s="9" t="str">
        <x:v>C12</x:v>
      </x:c>
      <x:c r="B597" s="9" t="str">
        <x:v>P0104</x:v>
      </x:c>
      <x:c r="C597" s="9" t="str">
        <x:v>Био-комплекс</x:v>
      </x:c>
      <x:c r="D597" s="9" t="str">
        <x:v>БИО-комплекс Удобрение для орхидеи, Секрет счастья</x:v>
      </x:c>
      <x:c r="E597" s="9"/>
      <x:c r="F597" s="11" t="str">
        <x:v>https://bio-kompleks.ru/catalog/vsya_produktsiya/bio_kompleks_udobrenie_dlya_orkhidei_sekret_schastya_75_g_16/</x:v>
      </x:c>
    </x:row>
    <x:row r="598" ht="62" customHeight="1">
      <x:c r="A598" s="9" t="str">
        <x:v>C12</x:v>
      </x:c>
      <x:c r="B598" s="9" t="str">
        <x:v>P0159</x:v>
      </x:c>
      <x:c r="C598" s="9" t="str">
        <x:v>Био-комплекс</x:v>
      </x:c>
      <x:c r="D598" s="9" t="str">
        <x:v>Биококтейль для орхидеи, комнатный фэншуй ТМ HAPPY</x:v>
      </x:c>
      <x:c r="E598" s="9"/>
      <x:c r="F598" s="11" t="str">
        <x:v>https://bio-kompleks.ru/catalog/vsya_produktsiya/biokokteyl-dlya-orkhidei-komnatnyy-fenshuy-tm-happy/</x:v>
      </x:c>
    </x:row>
    <x:row r="599" ht="62" customHeight="1">
      <x:c r="A599" s="9" t="str">
        <x:v>C12</x:v>
      </x:c>
      <x:c r="B599" s="9" t="str">
        <x:v>P0578</x:v>
      </x:c>
      <x:c r="C599" s="9" t="str">
        <x:v>БашИнком</x:v>
      </x:c>
      <x:c r="D599" s="9" t="str">
        <x:v>Богатый Орхидея</x:v>
      </x:c>
      <x:c r="E599" s="9"/>
      <x:c r="F599" s="11" t="str">
        <x:v>https://www.bashinkom.ru/products/ojz/BogatyyOrkhideya01l</x:v>
      </x:c>
    </x:row>
    <x:row r="600" ht="62" customHeight="1">
      <x:c r="A600" s="9" t="str">
        <x:v>C13</x:v>
      </x:c>
      <x:c r="B600" s="9" t="str">
        <x:v>P0040</x:v>
      </x:c>
      <x:c r="C600" s="9" t="str">
        <x:v>Аминосил</x:v>
      </x:c>
      <x:c r="D600" s="9" t="str">
        <x:v>Витамины для фикусов и пальм в форме концентрата</x:v>
      </x:c>
      <x:c r="E600" s="9"/>
      <x:c r="F600" s="11" t="str">
        <x:v>https://aminosil.ru/vitamini-dlya-fikusov-i-palm-v-forme-kontsentrata</x:v>
      </x:c>
    </x:row>
    <x:row r="601" ht="62" customHeight="1">
      <x:c r="A601" s="9" t="str">
        <x:v>C13</x:v>
      </x:c>
      <x:c r="B601" s="9" t="str">
        <x:v>P0320</x:v>
      </x:c>
      <x:c r="C601" s="9" t="str">
        <x:v>Органик Микс</x:v>
      </x:c>
      <x:c r="D601" s="9" t="str">
        <x:v>Морской коктейль (водорастворимый) для Фикусов и Пальм Органик Микс</x:v>
      </x:c>
      <x:c r="E601" s="9"/>
      <x:c r="F601" s="11" t="str">
        <x:v>https://organic-mix.ru/catalog/morskoy-kokteyl-vodorastvorimyy-dlya-fikusov-i-palm-150-g-organik-miks/</x:v>
      </x:c>
    </x:row>
    <x:row r="602" ht="62" customHeight="1">
      <x:c r="A602" s="9" t="str">
        <x:v>C13</x:v>
      </x:c>
      <x:c r="B602" s="9" t="str">
        <x:v>P0414</x:v>
      </x:c>
      <x:c r="C602" s="9" t="str">
        <x:v>Органик Микс</x:v>
      </x:c>
      <x:c r="D602" s="9" t="str">
        <x:v>ЭЛИКСИР № 1 - для Фикусов и Пальм Органик Микс (NEW)</x:v>
      </x:c>
      <x:c r="E602" s="9"/>
      <x:c r="F602" s="11" t="str">
        <x:v>https://organic-mix.ru/catalog/eliksir-1-dlya-fikusov-i-palm-900-ml-new/</x:v>
      </x:c>
    </x:row>
    <x:row r="603" ht="62" customHeight="1">
      <x:c r="A603" s="9" t="str">
        <x:v>C13</x:v>
      </x:c>
      <x:c r="B603" s="9" t="str">
        <x:v>P0629</x:v>
      </x:c>
      <x:c r="C603" s="9" t="str">
        <x:v>БашИнком</x:v>
      </x:c>
      <x:c r="D603" s="9" t="str">
        <x:v>Гуми–ОМИ Фикус-Пальма</x:v>
      </x:c>
      <x:c r="E603" s="9"/>
      <x:c r="F603" s="11" t="str">
        <x:v>https://www.bashinkom.ru/products/ojz/FIKUSPALMAGumiOMI50g</x:v>
      </x:c>
    </x:row>
    <x:row r="604" ht="62" customHeight="1">
      <x:c r="A604" s="9" t="str">
        <x:v>C14</x:v>
      </x:c>
      <x:c r="B604" s="9" t="str">
        <x:v>P0038</x:v>
      </x:c>
      <x:c r="C604" s="9" t="str">
        <x:v>Аминосил</x:v>
      </x:c>
      <x:c r="D604" s="9" t="str">
        <x:v>Витамины для фиалок в форме геля</x:v>
      </x:c>
      <x:c r="E604" s="9"/>
      <x:c r="F604" s="11" t="str">
        <x:v>https://aminosil.ru/vitamini-dlya-fialok-v-forme-gelya</x:v>
      </x:c>
    </x:row>
    <x:row r="605" ht="62" customHeight="1">
      <x:c r="A605" s="9" t="str">
        <x:v>C14</x:v>
      </x:c>
      <x:c r="B605" s="9" t="str">
        <x:v>P0039</x:v>
      </x:c>
      <x:c r="C605" s="9" t="str">
        <x:v>Аминосил</x:v>
      </x:c>
      <x:c r="D605" s="9" t="str">
        <x:v>Витамины для фиалок в форме концентрата</x:v>
      </x:c>
      <x:c r="E605" s="9"/>
      <x:c r="F605" s="11" t="str">
        <x:v>https://aminosil.ru/vitamini-dlya-fialok-v-forme-kontsentrata</x:v>
      </x:c>
    </x:row>
    <x:row r="606" ht="62" customHeight="1">
      <x:c r="A606" s="9" t="str">
        <x:v>C14</x:v>
      </x:c>
      <x:c r="B606" s="9" t="str">
        <x:v>P0107</x:v>
      </x:c>
      <x:c r="C606" s="9" t="str">
        <x:v>Био-комплекс</x:v>
      </x:c>
      <x:c r="D606" s="9" t="str">
        <x:v>БИО-комплекс Удобрение для фиалки, Секрет счастья</x:v>
      </x:c>
      <x:c r="E606" s="9"/>
      <x:c r="F606" s="11" t="str">
        <x:v>https://bio-kompleks.ru/catalog/vsya_produktsiya/bio_kompleks_udobrenie_dlya_fialki_sekret_schastya_75_g_16/</x:v>
      </x:c>
    </x:row>
    <x:row r="607" ht="62" customHeight="1">
      <x:c r="A607" s="9" t="str">
        <x:v>C14</x:v>
      </x:c>
      <x:c r="B607" s="9" t="str">
        <x:v>P0168</x:v>
      </x:c>
      <x:c r="C607" s="9" t="str">
        <x:v>Био-комплекс</x:v>
      </x:c>
      <x:c r="D607" s="9" t="str">
        <x:v>Биококтейль для фиалки, комнатный фэншуй ТМ HAPPY</x:v>
      </x:c>
      <x:c r="E607" s="9"/>
      <x:c r="F607" s="11" t="str">
        <x:v>https://bio-kompleks.ru/catalog/vsya_produktsiya/biokokteyl-dlya-fialki-komnatnyy-fenshuy-tm-happy/</x:v>
      </x:c>
    </x:row>
    <x:row r="608" ht="62" customHeight="1">
      <x:c r="A608" s="9" t="str">
        <x:v>C14</x:v>
      </x:c>
      <x:c r="B608" s="9" t="str">
        <x:v>P0628</x:v>
      </x:c>
      <x:c r="C608" s="9" t="str">
        <x:v>БашИнком</x:v>
      </x:c>
      <x:c r="D608" s="9" t="str">
        <x:v>Гуми–Оми Фиалка-Герань</x:v>
      </x:c>
      <x:c r="E608" s="9"/>
      <x:c r="F608" s="11" t="str">
        <x:v>https://www.bashinkom.ru/products/ojz/FIALKAGERANGumiOMI50g</x:v>
      </x:c>
    </x:row>
    <x:row r="609" ht="62" customHeight="1">
      <x:c r="A609" s="9" t="str">
        <x:v>C15</x:v>
      </x:c>
      <x:c r="B609" s="9" t="str">
        <x:v>P0013</x:v>
      </x:c>
      <x:c r="C609" s="9" t="str">
        <x:v>Аминосил</x:v>
      </x:c>
      <x:c r="D609" s="9" t="str">
        <x:v>Витамины для кактусов и суккулентов в гранулах</x:v>
      </x:c>
      <x:c r="E609" s="9"/>
      <x:c r="F609" s="11" t="str">
        <x:v>https://aminosil.ru/vitamini-dlya-kaktusov-i-sukkulentov-v-granulah</x:v>
      </x:c>
    </x:row>
    <x:row r="610" ht="62" customHeight="1">
      <x:c r="A610" s="9" t="str">
        <x:v>C15</x:v>
      </x:c>
      <x:c r="B610" s="9" t="str">
        <x:v>P0014</x:v>
      </x:c>
      <x:c r="C610" s="9" t="str">
        <x:v>Аминосил</x:v>
      </x:c>
      <x:c r="D610" s="9" t="str">
        <x:v>Витамины для кактусов и суккулентов в форме концентрата</x:v>
      </x:c>
      <x:c r="E610" s="9"/>
      <x:c r="F610" s="11" t="str">
        <x:v>https://aminosil.ru/vitamini-dlya-kaktusov-i-sukkulentov-kontsentrat</x:v>
      </x:c>
    </x:row>
    <x:row r="611" ht="62" customHeight="1">
      <x:c r="A611" s="9" t="str">
        <x:v>C15</x:v>
      </x:c>
      <x:c r="B611" s="9" t="str">
        <x:v>P0106</x:v>
      </x:c>
      <x:c r="C611" s="9" t="str">
        <x:v>Био-комплекс</x:v>
      </x:c>
      <x:c r="D611" s="9" t="str">
        <x:v>БИО-комплекс Удобрение для суккулентов и кактусов, Секрет счастья</x:v>
      </x:c>
      <x:c r="E611" s="9"/>
      <x:c r="F611" s="11" t="str">
        <x:v>https://bio-kompleks.ru/catalog/vsya_produktsiya/bio_kompleks_udobrenie_dlya_sukkulentov_i_kaktusov_sekret_schastya_75_g_16/</x:v>
      </x:c>
    </x:row>
    <x:row r="612" ht="62" customHeight="1">
      <x:c r="A612" s="9" t="str">
        <x:v>C15</x:v>
      </x:c>
      <x:c r="B612" s="9" t="str">
        <x:v>P0166</x:v>
      </x:c>
      <x:c r="C612" s="9" t="str">
        <x:v>Био-комплекс</x:v>
      </x:c>
      <x:c r="D612" s="9" t="str">
        <x:v>Биококтейль для толстянки, комнатный фэншуй ТМ HAPPY</x:v>
      </x:c>
      <x:c r="E612" s="9"/>
      <x:c r="F612" s="11" t="str">
        <x:v>https://bio-kompleks.ru/catalog/vsya_produktsiya/biokokteyl-dlya-tolstyanki-komnatnyy-fenshuy-tm-happy/</x:v>
      </x:c>
    </x:row>
    <x:row r="613" ht="62" customHeight="1">
      <x:c r="A613" s="9" t="str">
        <x:v>C15</x:v>
      </x:c>
      <x:c r="B613" s="9" t="str">
        <x:v>P0611</x:v>
      </x:c>
      <x:c r="C613" s="9" t="str">
        <x:v>БашИнком</x:v>
      </x:c>
      <x:c r="D613" s="9" t="str">
        <x:v>Гуми–Оми Кактус-Алоэ</x:v>
      </x:c>
      <x:c r="E613" s="9"/>
      <x:c r="F613" s="11" t="str">
        <x:v>https://www.bashinkom.ru/products/ojz/KAKTUSALOEGumiOMI50g</x:v>
      </x:c>
    </x:row>
    <x:row r="614" ht="62" customHeight="1">
      <x:c r="A614" s="9" t="str">
        <x:v>C16</x:v>
      </x:c>
      <x:c r="B614" s="9" t="str">
        <x:v>P0047</x:v>
      </x:c>
      <x:c r="C614" s="9" t="str">
        <x:v>Аминосил</x:v>
      </x:c>
      <x:c r="D614" s="9" t="str">
        <x:v>Витамины для цитрусовых в гранулах</x:v>
      </x:c>
      <x:c r="E614" s="9"/>
      <x:c r="F614" s="11" t="str">
        <x:v>https://aminosil.ru/vitamini-dlya-tsitrusovih-v-granulah</x:v>
      </x:c>
    </x:row>
    <x:row r="615" ht="62" customHeight="1">
      <x:c r="A615" s="9" t="str">
        <x:v>C16</x:v>
      </x:c>
      <x:c r="B615" s="9" t="str">
        <x:v>P0048</x:v>
      </x:c>
      <x:c r="C615" s="9" t="str">
        <x:v>Аминосил</x:v>
      </x:c>
      <x:c r="D615" s="9" t="str">
        <x:v>Витамины для цитрусовых в форме концентрата</x:v>
      </x:c>
      <x:c r="E615" s="9"/>
      <x:c r="F615" s="11" t="str">
        <x:v>https://aminosil.ru/vitamini-dlya-tsitrusovih-v-forme-kontsentrata</x:v>
      </x:c>
    </x:row>
    <x:row r="616" ht="62" customHeight="1">
      <x:c r="A616" s="9" t="str">
        <x:v>C16</x:v>
      </x:c>
      <x:c r="B616" s="9" t="str">
        <x:v>P0061</x:v>
      </x:c>
      <x:c r="C616" s="9" t="str">
        <x:v>Аминосил</x:v>
      </x:c>
      <x:c r="D616" s="9" t="str">
        <x:v>Спрей Аминосил для цитрусовых</x:v>
      </x:c>
      <x:c r="E616" s="9"/>
      <x:c r="F616" s="11" t="str">
        <x:v>https://aminosil.ru/sprei-aminosil-dlya-tsitrusovih</x:v>
      </x:c>
    </x:row>
    <x:row r="617" ht="62" customHeight="1">
      <x:c r="A617" s="9" t="str">
        <x:v>C16</x:v>
      </x:c>
      <x:c r="B617" s="9" t="str">
        <x:v>P0170</x:v>
      </x:c>
      <x:c r="C617" s="9" t="str">
        <x:v>Био-комплекс</x:v>
      </x:c>
      <x:c r="D617" s="9" t="str">
        <x:v>Биококтейль для цитрусовых, комнатный фэншуй ТМ HAPPY</x:v>
      </x:c>
      <x:c r="E617" s="9"/>
      <x:c r="F617" s="11" t="str">
        <x:v>https://bio-kompleks.ru/catalog/vsya_produktsiya/biokokteyl-dlya-tsitrusovykh-komnatnyy-fenshuy-tm-happy/</x:v>
      </x:c>
    </x:row>
    <x:row r="618" ht="62" customHeight="1">
      <x:c r="A618" s="9" t="str">
        <x:v>C16</x:v>
      </x:c>
      <x:c r="B618" s="9" t="str">
        <x:v>P0419</x:v>
      </x:c>
      <x:c r="C618" s="9" t="str">
        <x:v>Органик Микс</x:v>
      </x:c>
      <x:c r="D618" s="9" t="str">
        <x:v>Эликсир № 1 для лимонов</x:v>
      </x:c>
      <x:c r="E618" s="9"/>
      <x:c r="F618" s="11" t="str">
        <x:v>https://organic-mix.ru/catalog/eliksir-1-dlya-limonov-i-tsitrusovykh/</x:v>
      </x:c>
    </x:row>
    <x:row r="619" ht="62" customHeight="1">
      <x:c r="A619" s="9" t="str">
        <x:v>C16</x:v>
      </x:c>
      <x:c r="B619" s="9" t="str">
        <x:v>P0616</x:v>
      </x:c>
      <x:c r="C619" s="9" t="str">
        <x:v>БашИнком</x:v>
      </x:c>
      <x:c r="D619" s="9" t="str">
        <x:v>Гуми–ОМИ Лимон – Мандарин</x:v>
      </x:c>
      <x:c r="E619" s="9"/>
      <x:c r="F619" s="11" t="str">
        <x:v>https://www.bashinkom.ru/products/ojz/LIMONMANDARINGumiOMI50g</x:v>
      </x:c>
    </x:row>
    <x:row r="620" ht="62" customHeight="1">
      <x:c r="A620" s="9" t="str">
        <x:v>C17</x:v>
      </x:c>
      <x:c r="B620" s="9" t="str">
        <x:v>P0027</x:v>
      </x:c>
      <x:c r="C620" s="9" t="str">
        <x:v>Аминосил</x:v>
      </x:c>
      <x:c r="D620" s="9" t="str">
        <x:v>Витамины для петуний в форме гранул</x:v>
      </x:c>
      <x:c r="E620" s="9"/>
      <x:c r="F620" s="11" t="str">
        <x:v>https://aminosil.ru/vitamini-dlya-petunii-v-granulah</x:v>
      </x:c>
    </x:row>
    <x:row r="621" ht="62" customHeight="1">
      <x:c r="A621" s="9" t="str">
        <x:v>C17</x:v>
      </x:c>
      <x:c r="B621" s="9" t="str">
        <x:v>P0028</x:v>
      </x:c>
      <x:c r="C621" s="9" t="str">
        <x:v>Аминосил</x:v>
      </x:c>
      <x:c r="D621" s="9" t="str">
        <x:v>Витамины для петуний в форме концентрата</x:v>
      </x:c>
      <x:c r="E621" s="9"/>
      <x:c r="F621" s="11" t="str">
        <x:v>https://aminosil.ru/vitamini-dlya-petunii-v-forme-kontsentra</x:v>
      </x:c>
    </x:row>
    <x:row r="622" ht="62" customHeight="1">
      <x:c r="A622" s="9" t="str">
        <x:v>C17</x:v>
      </x:c>
      <x:c r="B622" s="9" t="str">
        <x:v>P0044</x:v>
      </x:c>
      <x:c r="C622" s="9" t="str">
        <x:v>Аминосил</x:v>
      </x:c>
      <x:c r="D622" s="9" t="str">
        <x:v>Витамины для цветов в гранулах</x:v>
      </x:c>
      <x:c r="E622" s="9"/>
      <x:c r="F622" s="11" t="str">
        <x:v>https://aminosil.ru/vitamini-dlya-tsvetov-v-granulah</x:v>
      </x:c>
    </x:row>
    <x:row r="623" ht="62" customHeight="1">
      <x:c r="A623" s="9" t="str">
        <x:v>C17</x:v>
      </x:c>
      <x:c r="B623" s="9" t="str">
        <x:v>P0045</x:v>
      </x:c>
      <x:c r="C623" s="9" t="str">
        <x:v>Аминосил</x:v>
      </x:c>
      <x:c r="D623" s="9" t="str">
        <x:v>Витамины для цветов в форме геля</x:v>
      </x:c>
      <x:c r="E623" s="9"/>
      <x:c r="F623" s="11" t="str">
        <x:v>https://aminosil.ru/vitamini-dlya-tsvetov-v-forme-gelya</x:v>
      </x:c>
    </x:row>
    <x:row r="624" ht="62" customHeight="1">
      <x:c r="A624" s="9" t="str">
        <x:v>C17</x:v>
      </x:c>
      <x:c r="B624" s="9" t="str">
        <x:v>P0046</x:v>
      </x:c>
      <x:c r="C624" s="9" t="str">
        <x:v>Аминосил</x:v>
      </x:c>
      <x:c r="D624" s="9" t="str">
        <x:v>Витамины для цветов в форме концентрата</x:v>
      </x:c>
      <x:c r="E624" s="9"/>
      <x:c r="F624" s="11" t="str">
        <x:v>https://aminosil.ru/vitamini-dlya-tsvetov-forme-kontsentrata</x:v>
      </x:c>
    </x:row>
    <x:row r="625" ht="62" customHeight="1">
      <x:c r="A625" s="9" t="str">
        <x:v>C17</x:v>
      </x:c>
      <x:c r="B625" s="9" t="str">
        <x:v>P0057</x:v>
      </x:c>
      <x:c r="C625" s="9" t="str">
        <x:v>Аминосил</x:v>
      </x:c>
      <x:c r="D625" s="9" t="str">
        <x:v>Спрей Аминосил для петуний</x:v>
      </x:c>
      <x:c r="E625" s="9"/>
      <x:c r="F625" s="11" t="str">
        <x:v>https://aminosil.ru/sprei-aminosil-dlya-petunii</x:v>
      </x:c>
    </x:row>
    <x:row r="626" ht="62" customHeight="1">
      <x:c r="A626" s="9" t="str">
        <x:v>C17</x:v>
      </x:c>
      <x:c r="B626" s="9" t="str">
        <x:v>P0060</x:v>
      </x:c>
      <x:c r="C626" s="9" t="str">
        <x:v>Аминосил</x:v>
      </x:c>
      <x:c r="D626" s="9" t="str">
        <x:v>Спрей Аминосил для цветов</x:v>
      </x:c>
      <x:c r="E626" s="9"/>
      <x:c r="F626" s="11" t="str">
        <x:v>https://aminosil.ru/sprei-aminosil-dlya-tsvetov</x:v>
      </x:c>
    </x:row>
    <x:row r="627" ht="62" customHeight="1">
      <x:c r="A627" s="9" t="str">
        <x:v>C17</x:v>
      </x:c>
      <x:c r="B627" s="9" t="str">
        <x:v>P0082</x:v>
      </x:c>
      <x:c r="C627" s="9" t="str">
        <x:v>Био-комплекс</x:v>
      </x:c>
      <x:c r="D627" s="9" t="str">
        <x:v>БИО-комплекс ОМУ для клематисов, ТМ БИОША</x:v>
      </x:c>
      <x:c r="E627" s="9"/>
      <x:c r="F627" s="11" t="str">
        <x:v>https://bio-kompleks.ru/catalog/vsya_produktsiya/bio_kompleks_omu_dlya_klematisov_tm_biosha/</x:v>
      </x:c>
    </x:row>
    <x:row r="628" ht="62" customHeight="1">
      <x:c r="A628" s="9" t="str">
        <x:v>C17</x:v>
      </x:c>
      <x:c r="B628" s="9" t="str">
        <x:v>P0091</x:v>
      </x:c>
      <x:c r="C628" s="9" t="str">
        <x:v>Био-комплекс</x:v>
      </x:c>
      <x:c r="D628" s="9" t="str">
        <x:v>БИО-комплекс Петуния БУМ</x:v>
      </x:c>
      <x:c r="E628" s="9"/>
      <x:c r="F628" s="11" t="str">
        <x:v>https://bio-kompleks.ru/catalog/vsya_produktsiya/bio_kompleks_petuniya_bum/</x:v>
      </x:c>
    </x:row>
    <x:row r="629" ht="62" customHeight="1">
      <x:c r="A629" s="9" t="str">
        <x:v>C17</x:v>
      </x:c>
      <x:c r="B629" s="9" t="str">
        <x:v>P0116</x:v>
      </x:c>
      <x:c r="C629" s="9" t="str">
        <x:v>Био-комплекс</x:v>
      </x:c>
      <x:c r="D629" s="9" t="str">
        <x:v>БИО-комплекс Удобрение органическое для цветов, ТМ Удобряша</x:v>
      </x:c>
      <x:c r="E629" s="9"/>
      <x:c r="F629" s="11" t="str">
        <x:v>https://bio-kompleks.ru/catalog/vsya_produktsiya/bio_kompleks_udobrenie_organicheskoe_dlya_tsvetov_tm_udobryasha/</x:v>
      </x:c>
    </x:row>
    <x:row r="630" ht="62" customHeight="1">
      <x:c r="A630" s="9" t="str">
        <x:v>C17</x:v>
      </x:c>
      <x:c r="B630" s="9" t="str">
        <x:v>P0121</x:v>
      </x:c>
      <x:c r="C630" s="9" t="str">
        <x:v>Био-комплекс</x:v>
      </x:c>
      <x:c r="D630" s="9" t="str">
        <x:v>БИО-комплекс Удобрение Пышное цветение, Секрет счастья</x:v>
      </x:c>
      <x:c r="E630" s="9"/>
      <x:c r="F630" s="11" t="str">
        <x:v>https://bio-kompleks.ru/catalog/vsya_produktsiya/bio_kompleks_udobrenie_pyshnoe_tsvetenie_sekret_schastya_75_g_16/</x:v>
      </x:c>
    </x:row>
    <x:row r="631" ht="62" customHeight="1">
      <x:c r="A631" s="9" t="str">
        <x:v>C17</x:v>
      </x:c>
      <x:c r="B631" s="9" t="str">
        <x:v>P0123</x:v>
      </x:c>
      <x:c r="C631" s="9" t="str">
        <x:v>Био-комплекс</x:v>
      </x:c>
      <x:c r="D631" s="9" t="str">
        <x:v>БИО-комплекс Цветы БУМ</x:v>
      </x:c>
      <x:c r="E631" s="9"/>
      <x:c r="F631" s="11" t="str">
        <x:v>https://bio-kompleks.ru/catalog/vsya_produktsiya/bio_kompleks_tsvety_bum/</x:v>
      </x:c>
    </x:row>
    <x:row r="632" ht="62" customHeight="1">
      <x:c r="A632" s="9" t="str">
        <x:v>C17</x:v>
      </x:c>
      <x:c r="B632" s="9" t="str">
        <x:v>P0141</x:v>
      </x:c>
      <x:c r="C632" s="9" t="str">
        <x:v>Био-комплекс</x:v>
      </x:c>
      <x:c r="D632" s="9" t="str">
        <x:v>БИО-комплекс, ТМ Листория, Цветы</x:v>
      </x:c>
      <x:c r="E632" s="9"/>
      <x:c r="F632" s="11" t="str">
        <x:v>https://bio-kompleks.ru/catalog/vsya_produktsiya/bio_kompleks_tm_listoriya_tsvety/</x:v>
      </x:c>
    </x:row>
    <x:row r="633" ht="62" customHeight="1">
      <x:c r="A633" s="9" t="str">
        <x:v>C17</x:v>
      </x:c>
      <x:c r="B633" s="9" t="str">
        <x:v>P0151</x:v>
      </x:c>
      <x:c r="C633" s="9" t="str">
        <x:v>Био-комплекс</x:v>
      </x:c>
      <x:c r="D633" s="9" t="str">
        <x:v>Биококтейль для клематисов ТМ ВитаминУС</x:v>
      </x:c>
      <x:c r="E633" s="9"/>
      <x:c r="F633" s="11" t="str">
        <x:v>https://bio-kompleks.ru/catalog/vsya_produktsiya/biokokteyl_dlya_klematisov_tm_vitaminus/</x:v>
      </x:c>
    </x:row>
    <x:row r="634" ht="62" customHeight="1">
      <x:c r="A634" s="9" t="str">
        <x:v>C17</x:v>
      </x:c>
      <x:c r="B634" s="9" t="str">
        <x:v>P0157</x:v>
      </x:c>
      <x:c r="C634" s="9" t="str">
        <x:v>Био-комплекс</x:v>
      </x:c>
      <x:c r="D634" s="9" t="str">
        <x:v>Биококтейль для лаванды ТМ ВИТАМИНУС</x:v>
      </x:c>
      <x:c r="E634" s="9"/>
      <x:c r="F634" s="11" t="str">
        <x:v>https://bio-kompleks.ru/catalog/vsya_produktsiya/biokokteyl_dlya_lavandy_tm_vitaminus/</x:v>
      </x:c>
    </x:row>
    <x:row r="635" ht="62" customHeight="1">
      <x:c r="A635" s="9" t="str">
        <x:v>C17</x:v>
      </x:c>
      <x:c r="B635" s="9" t="str">
        <x:v>P0160</x:v>
      </x:c>
      <x:c r="C635" s="9" t="str">
        <x:v>Био-комплекс</x:v>
      </x:c>
      <x:c r="D635" s="9" t="str">
        <x:v>БИОкоктейль для петуний ТМ БИОША</x:v>
      </x:c>
      <x:c r="E635" s="9"/>
      <x:c r="F635" s="11" t="str">
        <x:v>https://bio-kompleks.ru/catalog/vsya_produktsiya/biokokteyl-dlya-petuniy-tm-biosha/</x:v>
      </x:c>
    </x:row>
    <x:row r="636" ht="62" customHeight="1">
      <x:c r="A636" s="9" t="str">
        <x:v>C17</x:v>
      </x:c>
      <x:c r="B636" s="9" t="str">
        <x:v>P0161</x:v>
      </x:c>
      <x:c r="C636" s="9" t="str">
        <x:v>Био-комплекс</x:v>
      </x:c>
      <x:c r="D636" s="9" t="str">
        <x:v>БИОкоктейль для петуний ТМ ВИТАМИНУС</x:v>
      </x:c>
      <x:c r="E636" s="9"/>
      <x:c r="F636" s="11" t="str">
        <x:v>https://bio-kompleks.ru/catalog/vsya_produktsiya/biokokteyl_dlya_petuniy_tm_vitaminus/</x:v>
      </x:c>
    </x:row>
    <x:row r="637" ht="62" customHeight="1">
      <x:c r="A637" s="9" t="str">
        <x:v>C17</x:v>
      </x:c>
      <x:c r="B637" s="9" t="str">
        <x:v>P0174</x:v>
      </x:c>
      <x:c r="C637" s="9" t="str">
        <x:v>Био-комплекс</x:v>
      </x:c>
      <x:c r="D637" s="9" t="str">
        <x:v>Биококтейль Пышное цветение для комнатных растений ТМ HAPPY</x:v>
      </x:c>
      <x:c r="E637" s="9"/>
      <x:c r="F637" s="11" t="str">
        <x:v>https://bio-kompleks.ru/catalog/vsya_produktsiya/biokokteyl_pyshnoe_tsvetenie_dlya_komnatnykh_rasteniy_tm_happy/</x:v>
      </x:c>
    </x:row>
    <x:row r="638" ht="62" customHeight="1">
      <x:c r="A638" s="9" t="str">
        <x:v>C17</x:v>
      </x:c>
      <x:c r="B638" s="9" t="str">
        <x:v>P0206</x:v>
      </x:c>
      <x:c r="C638" s="9" t="str">
        <x:v>Био-комплекс</x:v>
      </x:c>
      <x:c r="D638" s="9" t="str">
        <x:v>Нутривант Плюс, Плоды-цветы (Юникроп) NPK 0-36-24 профессиональное комплексное удобрение</x:v>
      </x:c>
      <x:c r="E638" s="9"/>
      <x:c r="F638" s="11" t="str">
        <x:v>https://bio-kompleks.ru/catalog/vsya_produktsiya/nutrivant-plyus-plody-tsvety-yunikrop-npk-0-36-24-professionalnoe-kompleksnoe-udobrenie/</x:v>
      </x:c>
    </x:row>
    <x:row r="639" ht="62" customHeight="1">
      <x:c r="A639" s="9" t="str">
        <x:v>C17</x:v>
      </x:c>
      <x:c r="B639" s="9" t="str">
        <x:v>P0210</x:v>
      </x:c>
      <x:c r="C639" s="9" t="str">
        <x:v>Био-комплекс</x:v>
      </x:c>
      <x:c r="D639" s="9" t="str">
        <x:v>Нутривант Плюс, Цветы NPK: 19-19-19, профессиональное комплексное удобрение</x:v>
      </x:c>
      <x:c r="E639" s="9"/>
      <x:c r="F639" s="11" t="str">
        <x:v>https://bio-kompleks.ru/catalog/vsya_produktsiya/nutrivant-plyus-tsvety-npk-19-19-19-professionalnoe-kompleksnoe-udobrenie/</x:v>
      </x:c>
    </x:row>
    <x:row r="640" ht="62" customHeight="1">
      <x:c r="A640" s="9" t="str">
        <x:v>C17</x:v>
      </x:c>
      <x:c r="B640" s="9" t="str">
        <x:v>P0321</x:v>
      </x:c>
      <x:c r="C640" s="9" t="str">
        <x:v>Органик Микс</x:v>
      </x:c>
      <x:c r="D640" s="9" t="str">
        <x:v>Морской коктейль (водорастворимый) для Цветов Органик Микс</x:v>
      </x:c>
      <x:c r="E640" s="9"/>
      <x:c r="F640" s="11" t="str">
        <x:v>https://organic-mix.ru/catalog/morskoy-kokteyl-vodorastvorimyy-dlya-tsvetov-600-g-organik-miks/</x:v>
      </x:c>
    </x:row>
    <x:row r="641" ht="62" customHeight="1">
      <x:c r="A641" s="9" t="str">
        <x:v>C17</x:v>
      </x:c>
      <x:c r="B641" s="9" t="str">
        <x:v>P0334</x:v>
      </x:c>
      <x:c r="C641" s="9" t="str">
        <x:v>Органик Микс</x:v>
      </x:c>
      <x:c r="D641" s="9" t="str">
        <x:v>Морской коктейль (жидкий) для Цветов</x:v>
      </x:c>
      <x:c r="E641" s="9"/>
      <x:c r="F641" s="11" t="str">
        <x:v>https://organic-mix.ru/catalog/morskoy-kokteyl-zhidkiy-dlya-tsvetov-450-ml/</x:v>
      </x:c>
    </x:row>
    <x:row r="642" ht="62" customHeight="1">
      <x:c r="A642" s="9" t="str">
        <x:v>C17</x:v>
      </x:c>
      <x:c r="B642" s="9" t="str">
        <x:v>P0383</x:v>
      </x:c>
      <x:c r="C642" s="9" t="str">
        <x:v>Органик Микс</x:v>
      </x:c>
      <x:c r="D642" s="9" t="str">
        <x:v>Удобрение для роз и цветов Органик Микс</x:v>
      </x:c>
      <x:c r="E642" s="9"/>
      <x:c r="F642" s="11" t="str">
        <x:v>https://organic-mix.ru/catalog/udobrenie-dlya-roz-i-tsvetov-organik-miks-7-kg-vedro/</x:v>
      </x:c>
    </x:row>
    <x:row r="643" ht="62" customHeight="1">
      <x:c r="A643" s="9" t="str">
        <x:v>C17</x:v>
      </x:c>
      <x:c r="B643" s="9" t="str">
        <x:v>P0398</x:v>
      </x:c>
      <x:c r="C643" s="9" t="str">
        <x:v>Органик Микс</x:v>
      </x:c>
      <x:c r="D643" s="9" t="str">
        <x:v>ЭЛИКСИР № 1 - для Клематисов Органик Микс (NEW)</x:v>
      </x:c>
      <x:c r="E643" s="9"/>
      <x:c r="F643" s="11" t="str">
        <x:v>https://organic-mix.ru/catalog/eliksir-1-dlya-klematisov-900-ml-organik-miks-new/</x:v>
      </x:c>
    </x:row>
    <x:row r="644" ht="62" customHeight="1">
      <x:c r="A644" s="9" t="str">
        <x:v>C17</x:v>
      </x:c>
      <x:c r="B644" s="9" t="str">
        <x:v>P0401</x:v>
      </x:c>
      <x:c r="C644" s="9" t="str">
        <x:v>Органик Микс</x:v>
      </x:c>
      <x:c r="D644" s="9" t="str">
        <x:v>ЭЛИКСИР № 1 - для Лаванды Органик Микс (NEW)</x:v>
      </x:c>
      <x:c r="E644" s="9"/>
      <x:c r="F644" s="11" t="str">
        <x:v>https://organic-mix.ru/catalog/eliksir-1-dlya-lavandy-900-ml-organik-miks-new/</x:v>
      </x:c>
    </x:row>
    <x:row r="645" ht="62" customHeight="1">
      <x:c r="A645" s="9" t="str">
        <x:v>C17</x:v>
      </x:c>
      <x:c r="B645" s="9" t="str">
        <x:v>P0406</x:v>
      </x:c>
      <x:c r="C645" s="9" t="str">
        <x:v>Органик Микс</x:v>
      </x:c>
      <x:c r="D645" s="9" t="str">
        <x:v>ЭЛИКСИР № 1 - для Петуний Органик Микс (NEW)</x:v>
      </x:c>
      <x:c r="E645" s="9"/>
      <x:c r="F645" s="11" t="str">
        <x:v>https://organic-mix.ru/catalog/eliksir-1-dlya-petuni-5-l-organik-miks-new/</x:v>
      </x:c>
    </x:row>
    <x:row r="646" ht="62" customHeight="1">
      <x:c r="A646" s="9" t="str">
        <x:v>C17</x:v>
      </x:c>
      <x:c r="B646" s="9" t="str">
        <x:v>P0413</x:v>
      </x:c>
      <x:c r="C646" s="9" t="str">
        <x:v>Органик Микс</x:v>
      </x:c>
      <x:c r="D646" s="9" t="str">
        <x:v>ЭЛИКСИР № 1 - для Тюльпанов и Луковичных цветов Органик Микс (NEW)</x:v>
      </x:c>
      <x:c r="E646" s="9"/>
      <x:c r="F646" s="11" t="str">
        <x:v>https://organic-mix.ru/catalog/eliksir-1-dlya-tyulpanov-i-lukovichnykh-tsvetov-900-ml-organik-miks-new/</x:v>
      </x:c>
    </x:row>
    <x:row r="647" ht="62" customHeight="1">
      <x:c r="A647" s="9" t="str">
        <x:v>C17</x:v>
      </x:c>
      <x:c r="B647" s="9" t="str">
        <x:v>P0416</x:v>
      </x:c>
      <x:c r="C647" s="9" t="str">
        <x:v>Органик Микс</x:v>
      </x:c>
      <x:c r="D647" s="9" t="str">
        <x:v>ЭЛИКСИР № 1 - для Цветов Органик Микс (NEW)</x:v>
      </x:c>
      <x:c r="E647" s="9"/>
      <x:c r="F647" s="11" t="str">
        <x:v>https://organic-mix.ru/catalog/eliksir-1-dlya-tsvetov-900-ml-new/</x:v>
      </x:c>
    </x:row>
    <x:row r="648" ht="62" customHeight="1">
      <x:c r="A648" s="9" t="str">
        <x:v>C17</x:v>
      </x:c>
      <x:c r="B648" s="9" t="str">
        <x:v>P0575</x:v>
      </x:c>
      <x:c r="C648" s="9" t="str">
        <x:v>БашИнком</x:v>
      </x:c>
      <x:c r="D648" s="9" t="str">
        <x:v>Богатый Газон-Цветы</x:v>
      </x:c>
      <x:c r="E648" s="9"/>
      <x:c r="F648" s="11" t="str">
        <x:v>https://www.bashinkom.ru/products/ojz/BOGATYYGazonTSvety05l</x:v>
      </x:c>
    </x:row>
    <x:row r="649" ht="62" customHeight="1">
      <x:c r="A649" s="9" t="str">
        <x:v>C17</x:v>
      </x:c>
      <x:c r="B649" s="9" t="str">
        <x:v>P0596</x:v>
      </x:c>
      <x:c r="C649" s="9" t="str">
        <x:v>БашИнком</x:v>
      </x:c>
      <x:c r="D649" s="9" t="str">
        <x:v>Гуми – Оми Однолетние и Двулетние цветы</x:v>
      </x:c>
      <x:c r="E649" s="9"/>
      <x:c r="F649" s="11" t="str">
        <x:v>https://www.bashinkom.ru/products/ojz/OdnoletnieiDvuletnietsvetyGumiOmi50g</x:v>
      </x:c>
    </x:row>
    <x:row r="650" ht="62" customHeight="1">
      <x:c r="A650" s="9" t="str">
        <x:v>C17</x:v>
      </x:c>
      <x:c r="B650" s="9" t="str">
        <x:v>P0608</x:v>
      </x:c>
      <x:c r="C650" s="9" t="str">
        <x:v>БашИнком</x:v>
      </x:c>
      <x:c r="D650" s="9" t="str">
        <x:v>Гуми–Оми Бутон–Цветы</x:v>
      </x:c>
      <x:c r="E650" s="9"/>
      <x:c r="F650" s="11" t="str">
        <x:v>https://www.bashinkom.ru/products/ojz/ButonTSvetyGumiOMI50g</x:v>
      </x:c>
    </x:row>
    <x:row r="651" ht="62" customHeight="1">
      <x:c r="A651" s="9" t="str">
        <x:v>C17</x:v>
      </x:c>
      <x:c r="B651" s="9" t="str">
        <x:v>P0619</x:v>
      </x:c>
      <x:c r="C651" s="9" t="str">
        <x:v>БашИнком</x:v>
      </x:c>
      <x:c r="D651" s="9" t="str">
        <x:v>Гуми–Оми Луковичные и Клубнелуковичные цветы</x:v>
      </x:c>
      <x:c r="E651" s="9"/>
      <x:c r="F651" s="11" t="str">
        <x:v>https://www.bashinkom.ru/products/ojz/LukovichnyeiKlubnelukovichnyetsvetyGumiOMI50g</x:v>
      </x:c>
    </x:row>
    <x:row r="652" ht="62" customHeight="1">
      <x:c r="A652" s="9" t="str">
        <x:v>C17</x:v>
      </x:c>
      <x:c r="B652" s="9" t="str">
        <x:v>P0626</x:v>
      </x:c>
      <x:c r="C652" s="9" t="str">
        <x:v>БашИнком</x:v>
      </x:c>
      <x:c r="D652" s="9" t="str">
        <x:v>Гуми–Оми Универсал - Овощи, Ягоды, Цветы</x:v>
      </x:c>
      <x:c r="E652" s="9"/>
      <x:c r="F652" s="11" t="str">
        <x:v>https://www.bashinkom.ru/products/ojz/GumiOMIUNIVERSALOvoshchiYAgodyTSvety07kg</x:v>
      </x:c>
    </x:row>
    <x:row r="653" ht="62" customHeight="1">
      <x:c r="A653" s="9" t="str">
        <x:v>C17</x:v>
      </x:c>
      <x:c r="B653" s="9" t="str">
        <x:v>P0632</x:v>
      </x:c>
      <x:c r="C653" s="9" t="str">
        <x:v>БашИнком</x:v>
      </x:c>
      <x:c r="D653" s="9" t="str">
        <x:v>Гуми–Оми Цветы садовые Универсал</x:v>
      </x:c>
      <x:c r="E653" s="9"/>
      <x:c r="F653" s="11" t="str">
        <x:v>https://www.bashinkom.ru/products/ojz/TSvetysadovyeUNIVERSALGumiOMI50g</x:v>
      </x:c>
    </x:row>
    <x:row r="654" ht="62" customHeight="1">
      <x:c r="A654" s="9" t="str">
        <x:v>C17</x:v>
      </x:c>
      <x:c r="B654" s="9" t="str">
        <x:v>P0635</x:v>
      </x:c>
      <x:c r="C654" s="9" t="str">
        <x:v>БашИнком</x:v>
      </x:c>
      <x:c r="D654" s="9" t="str">
        <x:v>Гуми-Оми. Многолетние цветы</x:v>
      </x:c>
      <x:c r="E654" s="9"/>
      <x:c r="F654" s="11" t="str">
        <x:v>https://www.bashinkom.ru/products/ojz/MnogoletnietsvetyGumiOmi50g</x:v>
      </x:c>
    </x:row>
    <x:row r="655" ht="62" customHeight="1">
      <x:c r="A655" s="9" t="str">
        <x:v>C17</x:v>
      </x:c>
      <x:c r="B655" s="9" t="str">
        <x:v>P0682</x:v>
      </x:c>
      <x:c r="C655" s="9" t="str">
        <x:v>БашИнком</x:v>
      </x:c>
      <x:c r="D655" s="9" t="str">
        <x:v>Пробиогранулы "Комнатные цветы"</x:v>
      </x:c>
      <x:c r="E655" s="9"/>
      <x:c r="F655" s="11" t="str">
        <x:v>https://www.bashinkom.ru/products/ojz/UdobreniegranulirovannoeprolongirovannoeKomnatnyetsvety02kg</x:v>
      </x:c>
    </x:row>
    <x:row r="656" ht="62" customHeight="1">
      <x:c r="A656" s="9" t="str">
        <x:v>C17</x:v>
      </x:c>
      <x:c r="B656" s="9" t="str">
        <x:v>P0683</x:v>
      </x:c>
      <x:c r="C656" s="9" t="str">
        <x:v>БашИнком</x:v>
      </x:c>
      <x:c r="D656" s="9" t="str">
        <x:v>Пробиогранулы "Садовые цветы"</x:v>
      </x:c>
      <x:c r="E656" s="9"/>
      <x:c r="F656" s="11" t="str">
        <x:v>https://www.bashinkom.ru/products/ojz/Probiogranulydlyasadovykhtsvetov08kg</x:v>
      </x:c>
    </x:row>
    <x:row r="657" ht="62" customHeight="1">
      <x:c r="A657" s="9" t="str">
        <x:v>C17</x:v>
      </x:c>
      <x:c r="B657" s="9" t="str">
        <x:v>P0691</x:v>
      </x:c>
      <x:c r="C657" s="9" t="str">
        <x:v>БашИнком</x:v>
      </x:c>
      <x:c r="D657" s="9" t="str">
        <x:v>ПРОБИОГРАНУЛЫ-PGPR Цветы - NPK 3:7:6 + МЭ + PGPR-бактерии</x:v>
      </x:c>
      <x:c r="E657" s="9"/>
      <x:c r="F657" s="11" t="str">
        <x:v>https://www.bashinkom.ru/products/prodecor/PROBIOGRANULYPGPRTSvetyNPK376MEPGPRbakterii</x:v>
      </x:c>
    </x:row>
    <x:row r="658" ht="62" customHeight="1">
      <x:c r="A658" s="9" t="str">
        <x:v>C18</x:v>
      </x:c>
      <x:c r="B658" s="9" t="str">
        <x:v>P0017</x:v>
      </x:c>
      <x:c r="C658" s="9" t="str">
        <x:v>Аминосил</x:v>
      </x:c>
      <x:c r="D658" s="9" t="str">
        <x:v>Витамины для лука и чеснока в форме концентрата</x:v>
      </x:c>
      <x:c r="E658" s="9"/>
      <x:c r="F658" s="11" t="str">
        <x:v>https://aminosil.ru/vitamini-dlya-luka-i-chesnoka-forme-kontsentrata</x:v>
      </x:c>
    </x:row>
    <x:row r="659" ht="62" customHeight="1">
      <x:c r="A659" s="9" t="str">
        <x:v>C18</x:v>
      </x:c>
      <x:c r="B659" s="9" t="str">
        <x:v>P0113</x:v>
      </x:c>
      <x:c r="C659" s="9" t="str">
        <x:v>Био-комплекс</x:v>
      </x:c>
      <x:c r="D659" s="9" t="str">
        <x:v>БИО-комплекс Удобрение органическое для лука и чеснока, ТМ Удобряша</x:v>
      </x:c>
      <x:c r="E659" s="9"/>
      <x:c r="F659" s="11" t="str">
        <x:v>https://bio-kompleks.ru/catalog/vsya_produktsiya/bio_kompleks_udobrenie_organicheskoe_dlya_luka_i_chesnoka_tm_udobryasha/</x:v>
      </x:c>
    </x:row>
    <x:row r="660" ht="62" customHeight="1">
      <x:c r="A660" s="9" t="str">
        <x:v>C18</x:v>
      </x:c>
      <x:c r="B660" s="9" t="str">
        <x:v>P0617</x:v>
      </x:c>
      <x:c r="C660" s="9" t="str">
        <x:v>БашИнком</x:v>
      </x:c>
      <x:c r="D660" s="9" t="str">
        <x:v>Гуми-Оми Лук и Чеснок - ( гранулированный)</x:v>
      </x:c>
      <x:c r="E660" s="9"/>
      <x:c r="F660" s="11" t="str">
        <x:v>https://www.bashinkom.ru/products/ojz/ProbiogranulyLukiCHesnok08kg</x:v>
      </x:c>
    </x:row>
    <x:row r="661" ht="62" customHeight="1">
      <x:c r="A661" s="9" t="str">
        <x:v>C18</x:v>
      </x:c>
      <x:c r="B661" s="9" t="str">
        <x:v>P0618</x:v>
      </x:c>
      <x:c r="C661" s="9" t="str">
        <x:v>БашИнком</x:v>
      </x:c>
      <x:c r="D661" s="9" t="str">
        <x:v>Гуми–Оми Лук, Чеснок</x:v>
      </x:c>
      <x:c r="E661" s="9"/>
      <x:c r="F661" s="11" t="str">
        <x:v>https://www.bashinkom.ru/products/ojz/GumiOMILukCHesnok07kg</x:v>
      </x:c>
    </x:row>
    <x:row r="662" ht="62" customHeight="1">
      <x:c r="A662" s="9" t="str">
        <x:v>C19</x:v>
      </x:c>
      <x:c r="B662" s="9" t="str">
        <x:v>P0112</x:v>
      </x:c>
      <x:c r="C662" s="9" t="str">
        <x:v>Био-комплекс</x:v>
      </x:c>
      <x:c r="D662" s="9" t="str">
        <x:v>БИО-комплекс Удобрение органическое для картофеля, ТМ Удобряша</x:v>
      </x:c>
      <x:c r="E662" s="9"/>
      <x:c r="F662" s="11" t="str">
        <x:v>https://bio-kompleks.ru/catalog/vsya_produktsiya/bio_kompleks_udobrenie_organicheskoe_dlya_kartofelya_tm_udobryasha/</x:v>
      </x:c>
    </x:row>
    <x:row r="663" ht="62" customHeight="1">
      <x:c r="A663" s="9" t="str">
        <x:v>C19</x:v>
      </x:c>
      <x:c r="B663" s="9" t="str">
        <x:v>P0373</x:v>
      </x:c>
      <x:c r="C663" s="9" t="str">
        <x:v>Органик Микс</x:v>
      </x:c>
      <x:c r="D663" s="9" t="str">
        <x:v>Удобрение для картофеля Органик Микс</x:v>
      </x:c>
      <x:c r="E663" s="9"/>
      <x:c r="F663" s="11" t="str">
        <x:v>https://organic-mix.ru/catalog/udobrenie-dlya-kartofelya-organik-miks-7-kg-vedro/</x:v>
      </x:c>
    </x:row>
    <x:row r="664" ht="62" customHeight="1">
      <x:c r="A664" s="9" t="str">
        <x:v>C19</x:v>
      </x:c>
      <x:c r="B664" s="9" t="str">
        <x:v>P0376</x:v>
      </x:c>
      <x:c r="C664" s="9" t="str">
        <x:v>Органик Микс</x:v>
      </x:c>
      <x:c r="D664" s="9" t="str">
        <x:v>Удобрение для корнеплодов</x:v>
      </x:c>
      <x:c r="E664" s="9"/>
      <x:c r="F664" s="11" t="str">
        <x:v>https://organic-mix.ru/catalog/udobrenie-dlya-korneplodov-organik-miks-850-gr/</x:v>
      </x:c>
    </x:row>
    <x:row r="665" ht="62" customHeight="1">
      <x:c r="A665" s="9" t="str">
        <x:v>C19</x:v>
      </x:c>
      <x:c r="B665" s="9" t="str">
        <x:v>P0402</x:v>
      </x:c>
      <x:c r="C665" s="9" t="str">
        <x:v>Органик Микс</x:v>
      </x:c>
      <x:c r="D665" s="9" t="str">
        <x:v>ЭЛИКСИР № 1 - для Моркови и Корнеплодов Органик Микс (NEW)</x:v>
      </x:c>
      <x:c r="E665" s="9"/>
      <x:c r="F665" s="11" t="str">
        <x:v>https://organic-mix.ru/catalog/eliksir-1-dlya-morkovi-i-korneplodov-900-ml-organik-miks-new/</x:v>
      </x:c>
    </x:row>
    <x:row r="666" ht="62" customHeight="1">
      <x:c r="A666" s="9" t="str">
        <x:v>C19</x:v>
      </x:c>
      <x:c r="B666" s="9" t="str">
        <x:v>P0613</x:v>
      </x:c>
      <x:c r="C666" s="9" t="str">
        <x:v>БашИнком</x:v>
      </x:c>
      <x:c r="D666" s="9" t="str">
        <x:v>Гуми–ОМИ Картофель</x:v>
      </x:c>
      <x:c r="E666" s="9"/>
      <x:c r="F666" s="11" t="str">
        <x:v>https://www.bashinkom.ru/products/ojz/GumiOMIKartofel10kg</x:v>
      </x:c>
    </x:row>
    <x:row r="667" ht="62" customHeight="1">
      <x:c r="A667" s="9" t="str">
        <x:v>C19</x:v>
      </x:c>
      <x:c r="B667" s="9" t="str">
        <x:v>P0614</x:v>
      </x:c>
      <x:c r="C667" s="9" t="str">
        <x:v>БашИнком</x:v>
      </x:c>
      <x:c r="D667" s="9" t="str">
        <x:v>Гуми–Оми Картофель, Морковь, Редис, Свекла, Репа, Редька</x:v>
      </x:c>
      <x:c r="E667" s="9"/>
      <x:c r="F667" s="11" t="str">
        <x:v>https://www.bashinkom.ru/products/ojz/GumiOMIKartofelMorkovRedisSveklaRepaRedka07kg</x:v>
      </x:c>
    </x:row>
    <x:row r="668" ht="62" customHeight="1">
      <x:c r="A668" s="9" t="str">
        <x:v>C20</x:v>
      </x:c>
      <x:c r="B668" s="9" t="str">
        <x:v>P0086</x:v>
      </x:c>
      <x:c r="C668" s="9" t="str">
        <x:v>Био-комплекс</x:v>
      </x:c>
      <x:c r="D668" s="9" t="str">
        <x:v>БИО-комплекс ОМУ для плодово-ягодных деревьев и кустарников, ТМ БИОША</x:v>
      </x:c>
      <x:c r="E668" s="9"/>
      <x:c r="F668" s="11" t="str">
        <x:v>https://bio-kompleks.ru/catalog/vsya_produktsiya/bio_kompleks_omu_dlya_plodovo_yagodnykh_derevev_i_kustarnikov_tm_biosha/</x:v>
      </x:c>
    </x:row>
    <x:row r="669" ht="62" customHeight="1">
      <x:c r="A669" s="9" t="str">
        <x:v>C20</x:v>
      </x:c>
      <x:c r="B669" s="9" t="str">
        <x:v>P0109</x:v>
      </x:c>
      <x:c r="C669" s="9" t="str">
        <x:v>Био-комплекс</x:v>
      </x:c>
      <x:c r="D669" s="9" t="str">
        <x:v>БИО-комплекс Удобрение органическое для винограда, ТМ Удобряша</x:v>
      </x:c>
      <x:c r="E669" s="9"/>
      <x:c r="F669" s="11" t="str">
        <x:v>https://bio-kompleks.ru/catalog/vsya_produktsiya/bio_kompleks_udobrenie_organicheskoe_dlya_vinograda_tm_udobryasha/</x:v>
      </x:c>
    </x:row>
    <x:row r="670" ht="62" customHeight="1">
      <x:c r="A670" s="9" t="str">
        <x:v>C20</x:v>
      </x:c>
      <x:c r="B670" s="9" t="str">
        <x:v>P0132</x:v>
      </x:c>
      <x:c r="C670" s="9" t="str">
        <x:v>Био-комплекс</x:v>
      </x:c>
      <x:c r="D670" s="9" t="str">
        <x:v>БИО-комплекс, ТМ Листория, Виноград</x:v>
      </x:c>
      <x:c r="E670" s="9"/>
      <x:c r="F670" s="11" t="str">
        <x:v>https://bio-kompleks.ru/catalog/vsya_produktsiya/bio_kompleks_tm_listoriya_vinograd_professionalnoe_mineralnoe_udobrenie_npk_0_40_25/</x:v>
      </x:c>
    </x:row>
    <x:row r="671" ht="62" customHeight="1">
      <x:c r="A671" s="9" t="str">
        <x:v>C20</x:v>
      </x:c>
      <x:c r="B671" s="9" t="str">
        <x:v>P0204</x:v>
      </x:c>
      <x:c r="C671" s="9" t="str">
        <x:v>Био-комплекс</x:v>
      </x:c>
      <x:c r="D671" s="9" t="str">
        <x:v>Нутривант Плюс, Виноград NPK: 0-40-25, профессиональное комплексное удобрение</x:v>
      </x:c>
      <x:c r="E671" s="9"/>
      <x:c r="F671" s="11" t="str">
        <x:v>https://bio-kompleks.ru/catalog/vsya_produktsiya/nutrivant-plyus-vinograd-npk-0-40-25-professionalnoe-kompleksnoe-udobrenie/</x:v>
      </x:c>
    </x:row>
    <x:row r="672" ht="62" customHeight="1">
      <x:c r="A672" s="9" t="str">
        <x:v>C20</x:v>
      </x:c>
      <x:c r="B672" s="9" t="str">
        <x:v>P0219</x:v>
      </x:c>
      <x:c r="C672" s="9" t="str">
        <x:v>Био-комплекс</x:v>
      </x:c>
      <x:c r="D672" s="9" t="str">
        <x:v>РАКЕТА, Удобрение для плодово-ягодных кустарников (колышки)</x:v>
      </x:c>
      <x:c r="E672" s="9"/>
      <x:c r="F672" s="11" t="str">
        <x:v>https://bio-kompleks.ru/catalog/vsya_produktsiya/raketa-udobrenie-dlya-plodovo-yagodnykh-kustarnikov-kolyshki/</x:v>
      </x:c>
    </x:row>
    <x:row r="673" ht="62" customHeight="1">
      <x:c r="A673" s="9" t="str">
        <x:v>C20</x:v>
      </x:c>
      <x:c r="B673" s="9" t="str">
        <x:v>P0220</x:v>
      </x:c>
      <x:c r="C673" s="9" t="str">
        <x:v>Био-комплекс</x:v>
      </x:c>
      <x:c r="D673" s="9" t="str">
        <x:v>РАКЕТА, Удобрение для плодовых деревьев (колышки)</x:v>
      </x:c>
      <x:c r="E673" s="9"/>
      <x:c r="F673" s="11" t="str">
        <x:v>https://bio-kompleks.ru/catalog/vsya_produktsiya/raketa-udobrenie-dlya-plodovykh-derevev-kolyshki/</x:v>
      </x:c>
    </x:row>
    <x:row r="674" ht="62" customHeight="1">
      <x:c r="A674" s="9" t="str">
        <x:v>C20</x:v>
      </x:c>
      <x:c r="B674" s="9" t="str">
        <x:v>P0223</x:v>
      </x:c>
      <x:c r="C674" s="9" t="str">
        <x:v>Био-комплекс</x:v>
      </x:c>
      <x:c r="D674" s="9" t="str">
        <x:v>РАКЕТА, Удобрение минеральное ОСЕННЕЕ для плодовых (колышки)</x:v>
      </x:c>
      <x:c r="E674" s="9"/>
      <x:c r="F674" s="11" t="str">
        <x:v>https://bio-kompleks.ru/catalog/vsya_produktsiya/raketa-udobrenie-mineralnoe-osennee-dlya-plodovykh-kolyshki/</x:v>
      </x:c>
    </x:row>
    <x:row r="675" ht="62" customHeight="1">
      <x:c r="A675" s="9" t="str">
        <x:v>C20</x:v>
      </x:c>
      <x:c r="B675" s="9" t="str">
        <x:v>P0364</x:v>
      </x:c>
      <x:c r="C675" s="9" t="str">
        <x:v>Органик Микс</x:v>
      </x:c>
      <x:c r="D675" s="9" t="str">
        <x:v>Удобрение для винограда Органик Микс</x:v>
      </x:c>
      <x:c r="E675" s="9"/>
      <x:c r="F675" s="11" t="str">
        <x:v>https://organic-mix.ru/catalog/udobrenie-dlya-vinograda-organik-miks-7-kg-vedro/</x:v>
      </x:c>
    </x:row>
    <x:row r="676" ht="62" customHeight="1">
      <x:c r="A676" s="9" t="str">
        <x:v>C20</x:v>
      </x:c>
      <x:c r="B676" s="9" t="str">
        <x:v>P0377</x:v>
      </x:c>
      <x:c r="C676" s="9" t="str">
        <x:v>Органик Микс</x:v>
      </x:c>
      <x:c r="D676" s="9" t="str">
        <x:v>Удобрение для косточковых ЧерриГарден Органик Микс</x:v>
      </x:c>
      <x:c r="E676" s="9"/>
      <x:c r="F676" s="11" t="str">
        <x:v>https://organic-mix.ru/catalog/udobrenie-dlya-kostochkovykh-cherrigarden-organik-miks-7-kg/</x:v>
      </x:c>
    </x:row>
    <x:row r="677" ht="62" customHeight="1">
      <x:c r="A677" s="9" t="str">
        <x:v>C20</x:v>
      </x:c>
      <x:c r="B677" s="9" t="str">
        <x:v>P0384</x:v>
      </x:c>
      <x:c r="C677" s="9" t="str">
        <x:v>Органик Микс</x:v>
      </x:c>
      <x:c r="D677" s="9" t="str">
        <x:v>Удобрение для семечковых ЭплГарден Органик Микс</x:v>
      </x:c>
      <x:c r="E677" s="9"/>
      <x:c r="F677" s="11" t="str">
        <x:v>https://organic-mix.ru/catalog/udobrenie-dlya-semechkovykh-eplgarden-organik-miks-25-kg/</x:v>
      </x:c>
    </x:row>
    <x:row r="678" ht="62" customHeight="1">
      <x:c r="A678" s="9" t="str">
        <x:v>C20</x:v>
      </x:c>
      <x:c r="B678" s="9" t="str">
        <x:v>P0395</x:v>
      </x:c>
      <x:c r="C678" s="9" t="str">
        <x:v>Органик Микс</x:v>
      </x:c>
      <x:c r="D678" s="9" t="str">
        <x:v>ЭЛИКСИР № 1 - для Винограда Органик Микс (NEW)</x:v>
      </x:c>
      <x:c r="E678" s="9"/>
      <x:c r="F678" s="11" t="str">
        <x:v>https://organic-mix.ru/catalog/eliksir-1-dlya-vinograda-900-ml-organik-miks-new/</x:v>
      </x:c>
    </x:row>
    <x:row r="679" ht="62" customHeight="1">
      <x:c r="A679" s="9" t="str">
        <x:v>C20</x:v>
      </x:c>
      <x:c r="B679" s="9" t="str">
        <x:v>P0408</x:v>
      </x:c>
      <x:c r="C679" s="9" t="str">
        <x:v>Органик Микс</x:v>
      </x:c>
      <x:c r="D679" s="9" t="str">
        <x:v>ЭЛИКСИР № 1 - для Плодовых деревьев Органик Микс (NEW)</x:v>
      </x:c>
      <x:c r="E679" s="9"/>
      <x:c r="F679" s="11" t="str">
        <x:v>https://organic-mix.ru/catalog/eliksir-1-dlya-plodovykh-derevev-5-l-organik-miks-new/</x:v>
      </x:c>
    </x:row>
    <x:row r="680" ht="62" customHeight="1">
      <x:c r="A680" s="9" t="str">
        <x:v>C20</x:v>
      </x:c>
      <x:c r="B680" s="9" t="str">
        <x:v>P0622</x:v>
      </x:c>
      <x:c r="C680" s="9" t="str">
        <x:v>БашИнком</x:v>
      </x:c>
      <x:c r="D680" s="9" t="str">
        <x:v>Гуми-Оми Плодовые – деревья и кустарники</x:v>
      </x:c>
      <x:c r="E680" s="9"/>
      <x:c r="F680" s="11" t="str">
        <x:v>https://www.bashinkom.ru/products/ojz/GumiOmiPlodovyederevyaikustarniki1kg</x:v>
      </x:c>
    </x:row>
    <x:row r="681" ht="62" customHeight="1">
      <x:c r="A681" s="9" t="str">
        <x:v>C21</x:v>
      </x:c>
      <x:c r="B681" s="9" t="str">
        <x:v>P0051</x:v>
      </x:c>
      <x:c r="C681" s="9" t="str">
        <x:v>Аминосил</x:v>
      </x:c>
      <x:c r="D681" s="9" t="str">
        <x:v>Витамины универсальные в форме гранул. Осень.</x:v>
      </x:c>
      <x:c r="E681" s="9"/>
      <x:c r="F681" s="11" t="str">
        <x:v>https://aminosil.ru/vitamini-universalniye-osennie-v-forme-granul</x:v>
      </x:c>
    </x:row>
    <x:row r="682" ht="62" customHeight="1">
      <x:c r="A682" s="9" t="str">
        <x:v>C21</x:v>
      </x:c>
      <x:c r="B682" s="9" t="str">
        <x:v>P0053</x:v>
      </x:c>
      <x:c r="C682" s="9" t="str">
        <x:v>Аминосил</x:v>
      </x:c>
      <x:c r="D682" s="9" t="str">
        <x:v>Витамины универсальные в форме концентрата. Осень.</x:v>
      </x:c>
      <x:c r="E682" s="9"/>
      <x:c r="F682" s="11" t="str">
        <x:v>https://aminosil.ru/vitamini-universalniye-osennie-v-forme-kontsentra</x:v>
      </x:c>
    </x:row>
    <x:row r="683" ht="62" customHeight="1">
      <x:c r="A683" s="9" t="str">
        <x:v>C21</x:v>
      </x:c>
      <x:c r="B683" s="9" t="str">
        <x:v>P0090</x:v>
      </x:c>
      <x:c r="C683" s="9" t="str">
        <x:v>Био-комплекс</x:v>
      </x:c>
      <x:c r="D683" s="9" t="str">
        <x:v>БИО-комплекс ОМУ осень универсальное, ТМ БИОША</x:v>
      </x:c>
      <x:c r="E683" s="9"/>
      <x:c r="F683" s="11" t="str">
        <x:v>https://bio-kompleks.ru/catalog/vsya_produktsiya/bio_kompleks_omu_osen_universalnoe_tm_biosha/</x:v>
      </x:c>
    </x:row>
    <x:row r="684" ht="62" customHeight="1">
      <x:c r="A684" s="9" t="str">
        <x:v>C21</x:v>
      </x:c>
      <x:c r="B684" s="9" t="str">
        <x:v>P0119</x:v>
      </x:c>
      <x:c r="C684" s="9" t="str">
        <x:v>Био-комплекс</x:v>
      </x:c>
      <x:c r="D684" s="9" t="str">
        <x:v>БИО-комплекс Удобрение органическое Осеннее, ТМ Удобряша</x:v>
      </x:c>
      <x:c r="E684" s="9"/>
      <x:c r="F684" s="11" t="str">
        <x:v>https://bio-kompleks.ru/catalog/vsya_produktsiya/bio_kompleks_udobrenie_organicheskoe_osennee_tm_udobryasha/</x:v>
      </x:c>
    </x:row>
    <x:row r="685" ht="62" customHeight="1">
      <x:c r="A685" s="9" t="str">
        <x:v>C21</x:v>
      </x:c>
      <x:c r="B685" s="9" t="str">
        <x:v>P0135</x:v>
      </x:c>
      <x:c r="C685" s="9" t="str">
        <x:v>Био-комплекс</x:v>
      </x:c>
      <x:c r="D685" s="9" t="str">
        <x:v>БИО-комплекс, ТМ Листория, ОСЕНЬ</x:v>
      </x:c>
      <x:c r="E685" s="9"/>
      <x:c r="F685" s="11" t="str">
        <x:v>https://bio-kompleks.ru/catalog/vsya_produktsiya/bio_kompleks_tm_listoriya_osen_professionalnoe_mineralnoe_udobrenie_npk_0_36_24/</x:v>
      </x:c>
    </x:row>
    <x:row r="686" ht="62" customHeight="1">
      <x:c r="A686" s="9" t="str">
        <x:v>C21</x:v>
      </x:c>
      <x:c r="B686" s="9" t="str">
        <x:v>P0173</x:v>
      </x:c>
      <x:c r="C686" s="9" t="str">
        <x:v>Био-комплекс</x:v>
      </x:c>
      <x:c r="D686" s="9" t="str">
        <x:v>Биококтейль ОСЕННИЙ</x:v>
      </x:c>
      <x:c r="E686" s="9"/>
      <x:c r="F686" s="11" t="str">
        <x:v>https://bio-kompleks.ru/catalog/vsya_produktsiya/biokokteyl-osenniy/</x:v>
      </x:c>
    </x:row>
    <x:row r="687" ht="62" customHeight="1">
      <x:c r="A687" s="9" t="str">
        <x:v>C21</x:v>
      </x:c>
      <x:c r="B687" s="9" t="str">
        <x:v>P0223</x:v>
      </x:c>
      <x:c r="C687" s="9" t="str">
        <x:v>Био-комплекс</x:v>
      </x:c>
      <x:c r="D687" s="9" t="str">
        <x:v>РАКЕТА, Удобрение минеральное ОСЕННЕЕ для плодовых (колышки)</x:v>
      </x:c>
      <x:c r="E687" s="9"/>
      <x:c r="F687" s="11" t="str">
        <x:v>https://bio-kompleks.ru/catalog/vsya_produktsiya/raketa-udobrenie-mineralnoe-osennee-dlya-plodovykh-kolyshki/</x:v>
      </x:c>
    </x:row>
    <x:row r="688" ht="62" customHeight="1">
      <x:c r="A688" s="9" t="str">
        <x:v>C21</x:v>
      </x:c>
      <x:c r="B688" s="9" t="str">
        <x:v>P0322</x:v>
      </x:c>
      <x:c r="C688" s="9" t="str">
        <x:v>Органик Микс</x:v>
      </x:c>
      <x:c r="D688" s="9" t="str">
        <x:v>Морской коктейль (водорастворимый) Осенний Органик Микс</x:v>
      </x:c>
      <x:c r="E688" s="9"/>
      <x:c r="F688" s="11" t="str">
        <x:v>https://organic-mix.ru/catalog/morskoy-kokteyl-vodorastvorimyy-osenniy-600-gr-organik-miks/</x:v>
      </x:c>
    </x:row>
    <x:row r="689" ht="62" customHeight="1">
      <x:c r="A689" s="9" t="str">
        <x:v>C21</x:v>
      </x:c>
      <x:c r="B689" s="9" t="str">
        <x:v>P0368</x:v>
      </x:c>
      <x:c r="C689" s="9" t="str">
        <x:v>Органик Микс</x:v>
      </x:c>
      <x:c r="D689" s="9" t="str">
        <x:v>Удобрение для газона Осень</x:v>
      </x:c>
      <x:c r="E689" s="9"/>
      <x:c r="F689" s="11" t="str">
        <x:v>https://organic-mix.ru/catalog/udobrenie-dlya-gazona-osen-organik-miks-7-kg-vedro/</x:v>
      </x:c>
    </x:row>
    <x:row r="690" ht="62" customHeight="1">
      <x:c r="A690" s="9" t="str">
        <x:v>C21</x:v>
      </x:c>
      <x:c r="B690" s="9" t="str">
        <x:v>P0388</x:v>
      </x:c>
      <x:c r="C690" s="9" t="str">
        <x:v>Органик Микс</x:v>
      </x:c>
      <x:c r="D690" s="9" t="str">
        <x:v>Удобрение осеннее</x:v>
      </x:c>
      <x:c r="E690" s="9"/>
      <x:c r="F690" s="11" t="str">
        <x:v>https://organic-mix.ru/catalog/udobrenie-osennee-organik-miks-850-gr/</x:v>
      </x:c>
    </x:row>
    <x:row r="691" ht="62" customHeight="1">
      <x:c r="A691" s="9" t="str">
        <x:v>C21</x:v>
      </x:c>
      <x:c r="B691" s="9" t="str">
        <x:v>P0422</x:v>
      </x:c>
      <x:c r="C691" s="9" t="str">
        <x:v>Органик Микс</x:v>
      </x:c>
      <x:c r="D691" s="9" t="str">
        <x:v>Эликсир № 1 осенний</x:v>
      </x:c>
      <x:c r="E691" s="9"/>
      <x:c r="F691" s="11" t="str">
        <x:v>https://organic-mix.ru/catalog/eliksir-1-osenniy-900-ml-organik-miks/</x:v>
      </x:c>
    </x:row>
    <x:row r="692" ht="62" customHeight="1">
      <x:c r="A692" s="9" t="str">
        <x:v>C21</x:v>
      </x:c>
      <x:c r="B692" s="9" t="str">
        <x:v>P0621</x:v>
      </x:c>
      <x:c r="C692" s="9" t="str">
        <x:v>БашИнком</x:v>
      </x:c>
      <x:c r="D692" s="9" t="str">
        <x:v>Гуми–Оми Осенний</x:v>
      </x:c>
      <x:c r="E692" s="9"/>
      <x:c r="F692" s="11" t="str">
        <x:v>https://www.bashinkom.ru/products/ojz/GumiOmiOsenniy1kg</x:v>
      </x:c>
    </x:row>
    <x:row r="693" ht="62" customHeight="1">
      <x:c r="A693" s="9" t="str">
        <x:v>C21</x:v>
      </x:c>
      <x:c r="B693" s="9" t="str">
        <x:v>P0686</x:v>
      </x:c>
      <x:c r="C693" s="9" t="str">
        <x:v>БашИнком</x:v>
      </x:c>
      <x:c r="D693" s="9" t="str">
        <x:v>Пробиогранулы Осенние</x:v>
      </x:c>
      <x:c r="E693" s="9"/>
      <x:c r="F693" s="11" t="str">
        <x:v>https://www.bashinkom.ru/products/ojz/GumiOmiOsenniygranulirovannyy</x:v>
      </x:c>
    </x:row>
    <x:row r="694" ht="62" customHeight="1">
      <x:c r="A694" s="9" t="str">
        <x:v>C21</x:v>
      </x:c>
      <x:c r="B694" s="9" t="str">
        <x:v>P0689</x:v>
      </x:c>
      <x:c r="C694" s="9" t="str">
        <x:v>БашИнком</x:v>
      </x:c>
      <x:c r="D694" s="9" t="str">
        <x:v>ПРОБИОГРАНУЛЫ-PGPR Осенние NPK 1:5:8 + МЭ + PGPR-бактерии</x:v>
      </x:c>
      <x:c r="E694" s="9"/>
      <x:c r="F694" s="11" t="str">
        <x:v>https://www.bashinkom.ru/products/prodecor/PROBIOGRANULYPGPROsennieNPK158MEPGPRbakterii</x:v>
      </x:c>
    </x:row>
    <x:row r="695" ht="62" customHeight="1">
      <x:c r="A695" s="9" t="str">
        <x:v>C22</x:v>
      </x:c>
      <x:c r="B695" s="9" t="str">
        <x:v>P0080</x:v>
      </x:c>
      <x:c r="C695" s="9" t="str">
        <x:v>Био-комплекс</x:v>
      </x:c>
      <x:c r="D695" s="9" t="str">
        <x:v>БИО-комплекс ОМУ весна-лето универсальное, ТМ БИОША</x:v>
      </x:c>
      <x:c r="E695" s="9"/>
      <x:c r="F695" s="11" t="str">
        <x:v>https://bio-kompleks.ru/catalog/vsya_produktsiya/bio_kompleks_omu_vesna_leto_universalnoe_tm_biosha/</x:v>
      </x:c>
    </x:row>
    <x:row r="696" ht="62" customHeight="1">
      <x:c r="A696" s="9" t="str">
        <x:v>C22</x:v>
      </x:c>
      <x:c r="B696" s="9" t="str">
        <x:v>P0363</x:v>
      </x:c>
      <x:c r="C696" s="9" t="str">
        <x:v>Органик Микс</x:v>
      </x:c>
      <x:c r="D696" s="9" t="str">
        <x:v>Удобрение весеннее</x:v>
      </x:c>
      <x:c r="E696" s="9"/>
      <x:c r="F696" s="11" t="str">
        <x:v>https://organic-mix.ru/catalog/udobrenie-vesenee-organik-miks-850-gr/</x:v>
      </x:c>
    </x:row>
    <x:row r="697" ht="62" customHeight="1">
      <x:c r="A697" s="9" t="str">
        <x:v>C22</x:v>
      </x:c>
      <x:c r="B697" s="9" t="str">
        <x:v>P0367</x:v>
      </x:c>
      <x:c r="C697" s="9" t="str">
        <x:v>Органик Микс</x:v>
      </x:c>
      <x:c r="D697" s="9" t="str">
        <x:v>Удобрение для газона Весна-Лето Органик Микс</x:v>
      </x:c>
      <x:c r="E697" s="9"/>
      <x:c r="F697" s="11" t="str">
        <x:v>https://organic-mix.ru/catalog/udobrenie-dlya-gazona-organik-miks-25-kg/</x:v>
      </x:c>
    </x:row>
    <x:row r="698" ht="62" customHeight="1">
      <x:c r="A698" s="9" t="str">
        <x:v>C22</x:v>
      </x:c>
      <x:c r="B698" s="9" t="str">
        <x:v>P0394</x:v>
      </x:c>
      <x:c r="C698" s="9" t="str">
        <x:v>Органик Микс</x:v>
      </x:c>
      <x:c r="D698" s="9" t="str">
        <x:v>ЭЛИКСИР № 1 - Весенний Органик Микс (NEW)</x:v>
      </x:c>
      <x:c r="E698" s="9"/>
      <x:c r="F698" s="11" t="str">
        <x:v>https://organic-mix.ru/catalog/eliksir-1-vesenniy-900-ml-organik-miks-new/</x:v>
      </x:c>
    </x:row>
    <x:row r="699" ht="62" customHeight="1">
      <x:c r="A699" s="9" t="str">
        <x:v>C22</x:v>
      </x:c>
      <x:c r="B699" s="9" t="str">
        <x:v>P0609</x:v>
      </x:c>
      <x:c r="C699" s="9" t="str">
        <x:v>БашИнком</x:v>
      </x:c>
      <x:c r="D699" s="9" t="str">
        <x:v>Гуми–Оми Весенний</x:v>
      </x:c>
      <x:c r="E699" s="9"/>
      <x:c r="F699" s="11" t="str">
        <x:v>https://www.bashinkom.ru/products/ojz/VesenniyGumiOMI1kg</x:v>
      </x:c>
    </x:row>
    <x:row r="700" ht="62" customHeight="1">
      <x:c r="A700" s="9" t="str">
        <x:v>C22</x:v>
      </x:c>
      <x:c r="B700" s="9" t="str">
        <x:v>P0685</x:v>
      </x:c>
      <x:c r="C700" s="9" t="str">
        <x:v>БашИнком</x:v>
      </x:c>
      <x:c r="D700" s="9" t="str">
        <x:v>Пробиогранулы Весенние</x:v>
      </x:c>
      <x:c r="E700" s="9"/>
      <x:c r="F700" s="11" t="str">
        <x:v>https://www.bashinkom.ru/products/ojz/UdobreniegranulirovannoeprolongirovannoeVesennie08kg</x:v>
      </x:c>
    </x:row>
    <x:row r="701" ht="62" customHeight="1">
      <x:c r="A701" s="9" t="str">
        <x:v>C22</x:v>
      </x:c>
      <x:c r="B701" s="9" t="str">
        <x:v>P0687</x:v>
      </x:c>
      <x:c r="C701" s="9" t="str">
        <x:v>БашИнком</x:v>
      </x:c>
      <x:c r="D701" s="9" t="str">
        <x:v>ПРОБИОГРАНУЛЫ-PGPR Весенние NPK 7:2:5 + МЭ + PGPR-бактерии</x:v>
      </x:c>
      <x:c r="E701" s="9"/>
      <x:c r="F701" s="11" t="str">
        <x:v>https://www.bashinkom.ru/products/prodecor/PROBIOGRANULYPGPRVesennieNPK725MEPGPRbakterii</x:v>
      </x:c>
    </x:row>
    <x:row r="702" ht="62" customHeight="1">
      <x:c r="A702" s="9" t="str">
        <x:v>C23</x:v>
      </x:c>
      <x:c r="B702" s="9" t="str">
        <x:v>P0150</x:v>
      </x:c>
      <x:c r="C702" s="9" t="str">
        <x:v>Био-комплекс</x:v>
      </x:c>
      <x:c r="D702" s="9" t="str">
        <x:v>БИОкоктейль для капусты ТМ ВитаминУС</x:v>
      </x:c>
      <x:c r="E702" s="9"/>
      <x:c r="F702" s="11" t="str">
        <x:v>https://bio-kompleks.ru/catalog/vsya_produktsiya/biokokteyl_dlya_kapusty_tm_vitaminus/</x:v>
      </x:c>
    </x:row>
    <x:row r="703" ht="62" customHeight="1">
      <x:c r="A703" s="9" t="str">
        <x:v>C23</x:v>
      </x:c>
      <x:c r="B703" s="9" t="str">
        <x:v>P0372</x:v>
      </x:c>
      <x:c r="C703" s="9" t="str">
        <x:v>Органик Микс</x:v>
      </x:c>
      <x:c r="D703" s="9" t="str">
        <x:v>Удобрение для капусты</x:v>
      </x:c>
      <x:c r="E703" s="9"/>
      <x:c r="F703" s="11" t="str">
        <x:v>https://organic-mix.ru/catalog/udobrenie-dlya-kapusty-850-gr/</x:v>
      </x:c>
    </x:row>
    <x:row r="704" ht="62" customHeight="1">
      <x:c r="A704" s="9" t="str">
        <x:v>C24</x:v>
      </x:c>
      <x:c r="B704" s="9" t="str">
        <x:v>P0218</x:v>
      </x:c>
      <x:c r="C704" s="9" t="str">
        <x:v>Био-комплекс</x:v>
      </x:c>
      <x:c r="D704" s="9" t="str">
        <x:v>РАКЕТА, Удобрение для декоративных культур (колышки)</x:v>
      </x:c>
      <x:c r="E704" s="9"/>
      <x:c r="F704" s="11" t="str">
        <x:v>https://bio-kompleks.ru/catalog/vsya_produktsiya/raketa-udobrenie-dlya-dekorativnykh-kultur-kolyshki/</x:v>
      </x:c>
    </x:row>
    <x:row r="705" ht="62" customHeight="1">
      <x:c r="A705" s="9" t="str">
        <x:v>C24</x:v>
      </x:c>
      <x:c r="B705" s="9" t="str">
        <x:v>P0610</x:v>
      </x:c>
      <x:c r="C705" s="9" t="str">
        <x:v>БашИнком</x:v>
      </x:c>
      <x:c r="D705" s="9" t="str">
        <x:v>Гуми-Оми Декоративные кустарники</x:v>
      </x:c>
      <x:c r="E705" s="9"/>
      <x:c r="F705" s="11" t="str">
        <x:v>https://www.bashinkom.ru/products/ojz/DEKORATIVNYEKUSTARNIKIGumiOmi1kg</x:v>
      </x:c>
    </x:row>
    <x:row r="706" ht="62" customHeight="1">
      <x:c r="A706" s="9" t="str">
        <x:v>C24</x:v>
      </x:c>
      <x:c r="B706" s="9" t="str">
        <x:v>P0680</x:v>
      </x:c>
      <x:c r="C706" s="9" t="str">
        <x:v>БашИнком</x:v>
      </x:c>
      <x:c r="D706" s="9" t="str">
        <x:v>Пробиогранулы "Декоративные кустарники и деревья", 0,8</x:v>
      </x:c>
      <x:c r="E706" s="9"/>
      <x:c r="F706" s="11" t="str">
        <x:v>https://www.bashinkom.ru/products/ojz/GumiOmiDekorativnyekustarnikiiderevya08kg</x:v>
      </x:c>
    </x:row>
    <x:row r="707" ht="62" customHeight="1">
      <x:c r="A707" s="9" t="str">
        <x:v>C24</x:v>
      </x:c>
      <x:c r="B707" s="9" t="str">
        <x:v>P0688</x:v>
      </x:c>
      <x:c r="C707" s="9" t="str">
        <x:v>БашИнком</x:v>
      </x:c>
      <x:c r="D707" s="9" t="str">
        <x:v>ПРОБИОГРАНУЛЫ-PGPR Декоративные кустарники NPK 5:7:5 + МЭ + PGPR-бактерии</x:v>
      </x:c>
      <x:c r="E707" s="9"/>
      <x:c r="F707" s="11" t="str">
        <x:v>https://www.bashinkom.ru/products/prodecor/PROBIOGRANULYPGPRDekorativnyekustarnikiNPK575MEPGPRbakterii</x:v>
      </x:c>
    </x:row>
    <x:row r="708" ht="62" customHeight="1">
      <x:c r="A708" s="9" t="str">
        <x:v>C25</x:v>
      </x:c>
      <x:c r="B708" s="9" t="str">
        <x:v>P0018</x:v>
      </x:c>
      <x:c r="C708" s="9" t="str">
        <x:v>Аминосил</x:v>
      </x:c>
      <x:c r="D708" s="9" t="str">
        <x:v>Витамины для овощей в форме гранул</x:v>
      </x:c>
      <x:c r="E708" s="9"/>
      <x:c r="F708" s="11" t="str">
        <x:v>https://aminosil.ru/vitamini-dlya-ovoschei-granulah</x:v>
      </x:c>
    </x:row>
    <x:row r="709" ht="62" customHeight="1">
      <x:c r="A709" s="9" t="str">
        <x:v>C25</x:v>
      </x:c>
      <x:c r="B709" s="9" t="str">
        <x:v>P0019</x:v>
      </x:c>
      <x:c r="C709" s="9" t="str">
        <x:v>Аминосил</x:v>
      </x:c>
      <x:c r="D709" s="9" t="str">
        <x:v>Витамины для овощей в форме концентрата</x:v>
      </x:c>
      <x:c r="E709" s="9"/>
      <x:c r="F709" s="11" t="str">
        <x:v>https://aminosil.ru/vitamini-dlya-ovoschei-v-forme-kontsentrata</x:v>
      </x:c>
    </x:row>
    <x:row r="710" ht="62" customHeight="1">
      <x:c r="A710" s="9" t="str">
        <x:v>C25</x:v>
      </x:c>
      <x:c r="B710" s="9" t="str">
        <x:v>P0020</x:v>
      </x:c>
      <x:c r="C710" s="9" t="str">
        <x:v>Аминосил</x:v>
      </x:c>
      <x:c r="D710" s="9" t="str">
        <x:v>Витамины для овощей и рассады в гранулах</x:v>
      </x:c>
      <x:c r="E710" s="9"/>
      <x:c r="F710" s="11" t="str">
        <x:v>https://aminosil.ru/vitamini-dlya-rassadi-v-granulah</x:v>
      </x:c>
    </x:row>
    <x:row r="711" ht="62" customHeight="1">
      <x:c r="A711" s="9" t="str">
        <x:v>C25</x:v>
      </x:c>
      <x:c r="B711" s="9" t="str">
        <x:v>P0021</x:v>
      </x:c>
      <x:c r="C711" s="9" t="str">
        <x:v>Аминосил</x:v>
      </x:c>
      <x:c r="D711" s="9" t="str">
        <x:v>Витамины для овощей и рассады в форме геля</x:v>
      </x:c>
      <x:c r="E711" s="9"/>
      <x:c r="F711" s="11" t="str">
        <x:v>https://aminosil.ru/vitamini-dlya-ovoschei-i-rassadi-v-forme-gelya</x:v>
      </x:c>
    </x:row>
    <x:row r="712" ht="62" customHeight="1">
      <x:c r="A712" s="9" t="str">
        <x:v>C25</x:v>
      </x:c>
      <x:c r="B712" s="9" t="str">
        <x:v>P0079</x:v>
      </x:c>
      <x:c r="C712" s="9" t="str">
        <x:v>Био-комплекс</x:v>
      </x:c>
      <x:c r="D712" s="9" t="str">
        <x:v>БИО-комплекс Овощи БУМ</x:v>
      </x:c>
      <x:c r="E712" s="9"/>
      <x:c r="F712" s="11" t="str">
        <x:v>https://bio-kompleks.ru/catalog/vsya_produktsiya/bio_kompleks_ovoshchi_bum/</x:v>
      </x:c>
    </x:row>
    <x:row r="713" ht="62" customHeight="1">
      <x:c r="A713" s="9" t="str">
        <x:v>C25</x:v>
      </x:c>
      <x:c r="B713" s="9" t="str">
        <x:v>P0134</x:v>
      </x:c>
      <x:c r="C713" s="9" t="str">
        <x:v>Био-комплекс</x:v>
      </x:c>
      <x:c r="D713" s="9" t="str">
        <x:v>БИО-комплекс, ТМ Листория, Овощи</x:v>
      </x:c>
      <x:c r="E713" s="9"/>
      <x:c r="F713" s="11" t="str">
        <x:v>https://bio-kompleks.ru/catalog/vsya_produktsiya/bio_kompleks_tm_listoriya_ovoshchi_professionalnoe_mineralnoe_udobrenie_npk_6_18_37/</x:v>
      </x:c>
    </x:row>
    <x:row r="714" ht="62" customHeight="1">
      <x:c r="A714" s="9" t="str">
        <x:v>C25</x:v>
      </x:c>
      <x:c r="B714" s="9" t="str">
        <x:v>P0146</x:v>
      </x:c>
      <x:c r="C714" s="9" t="str">
        <x:v>Био-комплекс</x:v>
      </x:c>
      <x:c r="D714" s="9" t="str">
        <x:v>БИОкоктейль для всех видов зелени ТМ БИОША</x:v>
      </x:c>
      <x:c r="E714" s="9"/>
      <x:c r="F714" s="11" t="str">
        <x:v>https://bio-kompleks.ru/catalog/vsya_produktsiya/biokokteyl-dlya-vsekh-vidov-zeleni-tm-biosha/</x:v>
      </x:c>
    </x:row>
    <x:row r="715" ht="62" customHeight="1">
      <x:c r="A715" s="9" t="str">
        <x:v>C25</x:v>
      </x:c>
      <x:c r="B715" s="9" t="str">
        <x:v>P0153</x:v>
      </x:c>
      <x:c r="C715" s="9" t="str">
        <x:v>Био-комплекс</x:v>
      </x:c>
      <x:c r="D715" s="9" t="str">
        <x:v>БИОкоктейль для комнатной зелени ТМ ВитаминУС</x:v>
      </x:c>
      <x:c r="E715" s="9"/>
      <x:c r="F715" s="11" t="str">
        <x:v>https://bio-kompleks.ru/catalog/vsya_produktsiya/biokokteyl-dlya-komnatnoy-zeleni-tm-vitaminus/</x:v>
      </x:c>
    </x:row>
    <x:row r="716" ht="62" customHeight="1">
      <x:c r="A716" s="9" t="str">
        <x:v>C25</x:v>
      </x:c>
      <x:c r="B716" s="9" t="str">
        <x:v>P0205</x:v>
      </x:c>
      <x:c r="C716" s="9" t="str">
        <x:v>Био-комплекс</x:v>
      </x:c>
      <x:c r="D716" s="9" t="str">
        <x:v>Нутривант Плюс, Овощной NPK: 6-18-37, профессиональное комплексное удобрение</x:v>
      </x:c>
      <x:c r="E716" s="9"/>
      <x:c r="F716" s="11" t="str">
        <x:v>https://bio-kompleks.ru/catalog/vsya_produktsiya/nutrivant-plyus-ovoshchnoy-npk-6-18-37-professionalnoe-kompleksnoe-udobrenie/</x:v>
      </x:c>
    </x:row>
    <x:row r="717" ht="62" customHeight="1">
      <x:c r="A717" s="9" t="str">
        <x:v>C25</x:v>
      </x:c>
      <x:c r="B717" s="9" t="str">
        <x:v>P0379</x:v>
      </x:c>
      <x:c r="C717" s="9" t="str">
        <x:v>Органик Микс</x:v>
      </x:c>
      <x:c r="D717" s="9" t="str">
        <x:v>Удобрение для овощей "Бельгийская серия"</x:v>
      </x:c>
      <x:c r="E717" s="9"/>
      <x:c r="F717" s="11" t="str">
        <x:v>https://organic-mix.ru/catalog/udobrenie-dlya-ovoshchey-belgiyskaya-seriya/</x:v>
      </x:c>
    </x:row>
    <x:row r="718" ht="62" customHeight="1">
      <x:c r="A718" s="9" t="str">
        <x:v>C25</x:v>
      </x:c>
      <x:c r="B718" s="9" t="str">
        <x:v>P0403</x:v>
      </x:c>
      <x:c r="C718" s="9" t="str">
        <x:v>Органик Микс</x:v>
      </x:c>
      <x:c r="D718" s="9" t="str">
        <x:v>ЭЛИКСИР № 1 - для Овощей Органик Микс (NEW)</x:v>
      </x:c>
      <x:c r="E718" s="9"/>
      <x:c r="F718" s="11" t="str">
        <x:v>https://organic-mix.ru/catalog/eliksir-1-dlya-ovoshchey-900-ml-new/</x:v>
      </x:c>
    </x:row>
    <x:row r="719" ht="62" customHeight="1">
      <x:c r="A719" s="9" t="str">
        <x:v>C25</x:v>
      </x:c>
      <x:c r="B719" s="9" t="str">
        <x:v>P0420</x:v>
      </x:c>
      <x:c r="C719" s="9" t="str">
        <x:v>Органик Микс</x:v>
      </x:c>
      <x:c r="D719" s="9" t="str">
        <x:v>Эликсир № 1 для овощей</x:v>
      </x:c>
      <x:c r="E719" s="9"/>
      <x:c r="F719" s="11" t="str">
        <x:v>https://organic-mix.ru/catalog/eliksir-1-dlya-ovoshchey-900-ml-organik-miks/</x:v>
      </x:c>
    </x:row>
    <x:row r="720" ht="62" customHeight="1">
      <x:c r="A720" s="9" t="str">
        <x:v>C25</x:v>
      </x:c>
      <x:c r="B720" s="9" t="str">
        <x:v>P0577</x:v>
      </x:c>
      <x:c r="C720" s="9" t="str">
        <x:v>БашИнком</x:v>
      </x:c>
      <x:c r="D720" s="9" t="str">
        <x:v>БОГАТЫЙ Овощи, Ягоды, Зелень - жидкое комплексное биоактивированое удобрение</x:v>
      </x:c>
      <x:c r="E720" s="9"/>
      <x:c r="F720" s="11" t="str">
        <x:v>https://www.bashinkom.ru/products/ojz/BOGATYYOvoshchiYAgodyZelenzhidkoekompleksnoebioaktivirovanoeudobrenie05l</x:v>
      </x:c>
    </x:row>
    <x:row r="721" ht="62" customHeight="1">
      <x:c r="A721" s="9" t="str">
        <x:v>C25</x:v>
      </x:c>
      <x:c r="B721" s="9" t="str">
        <x:v>P0626</x:v>
      </x:c>
      <x:c r="C721" s="9" t="str">
        <x:v>БашИнком</x:v>
      </x:c>
      <x:c r="D721" s="9" t="str">
        <x:v>Гуми–Оми Универсал - Овощи, Ягоды, Цветы</x:v>
      </x:c>
      <x:c r="E721" s="9"/>
      <x:c r="F721" s="11" t="str">
        <x:v>https://www.bashinkom.ru/products/ojz/GumiOMIUNIVERSALOvoshchiYAgodyTSvety07kg</x:v>
      </x:c>
    </x:row>
    <x:row r="722" ht="62" customHeight="1">
      <x:c r="A722" s="9" t="str">
        <x:v>C26</x:v>
      </x:c>
      <x:c r="B722" s="9" t="str">
        <x:v>P0378</x:v>
      </x:c>
      <x:c r="C722" s="9" t="str">
        <x:v>Органик Микс</x:v>
      </x:c>
      <x:c r="D722" s="9" t="str">
        <x:v>Удобрение для луковичных Органик Микс</x:v>
      </x:c>
      <x:c r="E722" s="9"/>
      <x:c r="F722" s="11" t="str">
        <x:v>https://organic-mix.ru/catalog/udobrenie-dlya-lukovichnykh-organik-miks-7-kg-vedro/</x:v>
      </x:c>
    </x:row>
    <x:row r="723" ht="62" customHeight="1">
      <x:c r="A723" s="9" t="str">
        <x:v>C26</x:v>
      </x:c>
      <x:c r="B723" s="9" t="str">
        <x:v>P0413</x:v>
      </x:c>
      <x:c r="C723" s="9" t="str">
        <x:v>Органик Микс</x:v>
      </x:c>
      <x:c r="D723" s="9" t="str">
        <x:v>ЭЛИКСИР № 1 - для Тюльпанов и Луковичных цветов Органик Микс (NEW)</x:v>
      </x:c>
      <x:c r="E723" s="9"/>
      <x:c r="F723" s="11" t="str">
        <x:v>https://organic-mix.ru/catalog/eliksir-1-dlya-tyulpanov-i-lukovichnykh-tsvetov-900-ml-organik-miks-new/</x:v>
      </x:c>
    </x:row>
    <x:row r="724" ht="62" customHeight="1">
      <x:c r="A724" s="9" t="str">
        <x:v>C26</x:v>
      </x:c>
      <x:c r="B724" s="9" t="str">
        <x:v>P0619</x:v>
      </x:c>
      <x:c r="C724" s="9" t="str">
        <x:v>БашИнком</x:v>
      </x:c>
      <x:c r="D724" s="9" t="str">
        <x:v>Гуми–Оми Луковичные и Клубнелуковичные цветы</x:v>
      </x:c>
      <x:c r="E724" s="9"/>
      <x:c r="F724" s="11" t="str">
        <x:v>https://www.bashinkom.ru/products/ojz/LukovichnyeiKlubnelukovichnyetsvetyGumiOMI50g</x:v>
      </x:c>
    </x:row>
  </x:sheetData>
  <x:mergeCells>
    <x:mergeCell ref="A1:F1"/>
    <x:mergeCell ref="A2:F2"/>
  </x:mergeCells>
  <x:hyperlinks>
    <x:hyperlink xmlns:ns0="http://schemas.openxmlformats.org/officeDocument/2006/relationships" ref="F5" ns0:id="rId2"/>
    <x:hyperlink xmlns:ns1="http://schemas.openxmlformats.org/officeDocument/2006/relationships" ref="F6" ns1:id="rId3"/>
    <x:hyperlink xmlns:ns2="http://schemas.openxmlformats.org/officeDocument/2006/relationships" ref="F7" ns2:id="rId4"/>
    <x:hyperlink xmlns:ns3="http://schemas.openxmlformats.org/officeDocument/2006/relationships" ref="F8" ns3:id="rId5"/>
    <x:hyperlink xmlns:ns4="http://schemas.openxmlformats.org/officeDocument/2006/relationships" ref="F9" ns4:id="rId6"/>
    <x:hyperlink xmlns:ns5="http://schemas.openxmlformats.org/officeDocument/2006/relationships" ref="F10" ns5:id="rId7"/>
    <x:hyperlink xmlns:ns6="http://schemas.openxmlformats.org/officeDocument/2006/relationships" ref="F11" ns6:id="rId8"/>
    <x:hyperlink xmlns:ns7="http://schemas.openxmlformats.org/officeDocument/2006/relationships" ref="F12" ns7:id="rId9"/>
    <x:hyperlink xmlns:ns8="http://schemas.openxmlformats.org/officeDocument/2006/relationships" ref="F13" ns8:id="rId10"/>
    <x:hyperlink xmlns:ns9="http://schemas.openxmlformats.org/officeDocument/2006/relationships" ref="F14" ns9:id="rId11"/>
    <x:hyperlink xmlns:ns10="http://schemas.openxmlformats.org/officeDocument/2006/relationships" ref="F15" ns10:id="rId12"/>
    <x:hyperlink xmlns:ns11="http://schemas.openxmlformats.org/officeDocument/2006/relationships" ref="F16" ns11:id="rId13"/>
    <x:hyperlink xmlns:ns12="http://schemas.openxmlformats.org/officeDocument/2006/relationships" ref="F17" ns12:id="rId14"/>
    <x:hyperlink xmlns:ns13="http://schemas.openxmlformats.org/officeDocument/2006/relationships" ref="F18" ns13:id="rId15"/>
    <x:hyperlink xmlns:ns14="http://schemas.openxmlformats.org/officeDocument/2006/relationships" ref="F19" ns14:id="rId16"/>
    <x:hyperlink xmlns:ns15="http://schemas.openxmlformats.org/officeDocument/2006/relationships" ref="F20" ns15:id="rId17"/>
    <x:hyperlink xmlns:ns16="http://schemas.openxmlformats.org/officeDocument/2006/relationships" ref="F21" ns16:id="rId18"/>
    <x:hyperlink xmlns:ns17="http://schemas.openxmlformats.org/officeDocument/2006/relationships" ref="F22" ns17:id="rId19"/>
    <x:hyperlink xmlns:ns18="http://schemas.openxmlformats.org/officeDocument/2006/relationships" ref="F23" ns18:id="rId20"/>
    <x:hyperlink xmlns:ns19="http://schemas.openxmlformats.org/officeDocument/2006/relationships" ref="F24" ns19:id="rId21"/>
    <x:hyperlink xmlns:ns20="http://schemas.openxmlformats.org/officeDocument/2006/relationships" ref="F25" ns20:id="rId22"/>
    <x:hyperlink xmlns:ns21="http://schemas.openxmlformats.org/officeDocument/2006/relationships" ref="F26" ns21:id="rId23"/>
    <x:hyperlink xmlns:ns22="http://schemas.openxmlformats.org/officeDocument/2006/relationships" ref="F27" ns22:id="rId24"/>
    <x:hyperlink xmlns:ns23="http://schemas.openxmlformats.org/officeDocument/2006/relationships" ref="F28" ns23:id="rId25"/>
    <x:hyperlink xmlns:ns24="http://schemas.openxmlformats.org/officeDocument/2006/relationships" ref="F29" ns24:id="rId26"/>
    <x:hyperlink xmlns:ns25="http://schemas.openxmlformats.org/officeDocument/2006/relationships" ref="F30" ns25:id="rId27"/>
    <x:hyperlink xmlns:ns26="http://schemas.openxmlformats.org/officeDocument/2006/relationships" ref="F31" ns26:id="rId28"/>
    <x:hyperlink xmlns:ns27="http://schemas.openxmlformats.org/officeDocument/2006/relationships" ref="F32" ns27:id="rId29"/>
    <x:hyperlink xmlns:ns28="http://schemas.openxmlformats.org/officeDocument/2006/relationships" ref="F33" ns28:id="rId30"/>
    <x:hyperlink xmlns:ns29="http://schemas.openxmlformats.org/officeDocument/2006/relationships" ref="F34" ns29:id="rId31"/>
    <x:hyperlink xmlns:ns30="http://schemas.openxmlformats.org/officeDocument/2006/relationships" ref="F35" ns30:id="rId32"/>
    <x:hyperlink xmlns:ns31="http://schemas.openxmlformats.org/officeDocument/2006/relationships" ref="F36" ns31:id="rId33"/>
    <x:hyperlink xmlns:ns32="http://schemas.openxmlformats.org/officeDocument/2006/relationships" ref="F37" ns32:id="rId34"/>
    <x:hyperlink xmlns:ns33="http://schemas.openxmlformats.org/officeDocument/2006/relationships" ref="F38" ns33:id="rId35"/>
    <x:hyperlink xmlns:ns34="http://schemas.openxmlformats.org/officeDocument/2006/relationships" ref="F39" ns34:id="rId36"/>
    <x:hyperlink xmlns:ns35="http://schemas.openxmlformats.org/officeDocument/2006/relationships" ref="F40" ns35:id="rId37"/>
    <x:hyperlink xmlns:ns36="http://schemas.openxmlformats.org/officeDocument/2006/relationships" ref="F41" ns36:id="rId38"/>
    <x:hyperlink xmlns:ns37="http://schemas.openxmlformats.org/officeDocument/2006/relationships" ref="F42" ns37:id="rId39"/>
    <x:hyperlink xmlns:ns38="http://schemas.openxmlformats.org/officeDocument/2006/relationships" ref="F43" ns38:id="rId40"/>
    <x:hyperlink xmlns:ns39="http://schemas.openxmlformats.org/officeDocument/2006/relationships" ref="F44" ns39:id="rId41"/>
    <x:hyperlink xmlns:ns40="http://schemas.openxmlformats.org/officeDocument/2006/relationships" ref="F45" ns40:id="rId42"/>
    <x:hyperlink xmlns:ns41="http://schemas.openxmlformats.org/officeDocument/2006/relationships" ref="F46" ns41:id="rId43"/>
    <x:hyperlink xmlns:ns42="http://schemas.openxmlformats.org/officeDocument/2006/relationships" ref="F47" ns42:id="rId44"/>
    <x:hyperlink xmlns:ns43="http://schemas.openxmlformats.org/officeDocument/2006/relationships" ref="F48" ns43:id="rId45"/>
    <x:hyperlink xmlns:ns44="http://schemas.openxmlformats.org/officeDocument/2006/relationships" ref="F49" ns44:id="rId46"/>
    <x:hyperlink xmlns:ns45="http://schemas.openxmlformats.org/officeDocument/2006/relationships" ref="F50" ns45:id="rId47"/>
    <x:hyperlink xmlns:ns46="http://schemas.openxmlformats.org/officeDocument/2006/relationships" ref="F51" ns46:id="rId48"/>
    <x:hyperlink xmlns:ns47="http://schemas.openxmlformats.org/officeDocument/2006/relationships" ref="F52" ns47:id="rId49"/>
    <x:hyperlink xmlns:ns48="http://schemas.openxmlformats.org/officeDocument/2006/relationships" ref="F53" ns48:id="rId50"/>
    <x:hyperlink xmlns:ns49="http://schemas.openxmlformats.org/officeDocument/2006/relationships" ref="F54" ns49:id="rId51"/>
    <x:hyperlink xmlns:ns50="http://schemas.openxmlformats.org/officeDocument/2006/relationships" ref="F55" ns50:id="rId52"/>
    <x:hyperlink xmlns:ns51="http://schemas.openxmlformats.org/officeDocument/2006/relationships" ref="F56" ns51:id="rId53"/>
    <x:hyperlink xmlns:ns52="http://schemas.openxmlformats.org/officeDocument/2006/relationships" ref="F57" ns52:id="rId54"/>
    <x:hyperlink xmlns:ns53="http://schemas.openxmlformats.org/officeDocument/2006/relationships" ref="F58" ns53:id="rId55"/>
    <x:hyperlink xmlns:ns54="http://schemas.openxmlformats.org/officeDocument/2006/relationships" ref="F59" ns54:id="rId56"/>
    <x:hyperlink xmlns:ns55="http://schemas.openxmlformats.org/officeDocument/2006/relationships" ref="F60" ns55:id="rId57"/>
    <x:hyperlink xmlns:ns56="http://schemas.openxmlformats.org/officeDocument/2006/relationships" ref="F61" ns56:id="rId58"/>
    <x:hyperlink xmlns:ns57="http://schemas.openxmlformats.org/officeDocument/2006/relationships" ref="F62" ns57:id="rId59"/>
    <x:hyperlink xmlns:ns58="http://schemas.openxmlformats.org/officeDocument/2006/relationships" ref="F63" ns58:id="rId60"/>
    <x:hyperlink xmlns:ns59="http://schemas.openxmlformats.org/officeDocument/2006/relationships" ref="F64" ns59:id="rId61"/>
    <x:hyperlink xmlns:ns60="http://schemas.openxmlformats.org/officeDocument/2006/relationships" ref="F65" ns60:id="rId62"/>
    <x:hyperlink xmlns:ns61="http://schemas.openxmlformats.org/officeDocument/2006/relationships" ref="F66" ns61:id="rId63"/>
    <x:hyperlink xmlns:ns62="http://schemas.openxmlformats.org/officeDocument/2006/relationships" ref="F67" ns62:id="rId64"/>
    <x:hyperlink xmlns:ns63="http://schemas.openxmlformats.org/officeDocument/2006/relationships" ref="F68" ns63:id="rId65"/>
    <x:hyperlink xmlns:ns64="http://schemas.openxmlformats.org/officeDocument/2006/relationships" ref="F69" ns64:id="rId66"/>
    <x:hyperlink xmlns:ns65="http://schemas.openxmlformats.org/officeDocument/2006/relationships" ref="F70" ns65:id="rId67"/>
    <x:hyperlink xmlns:ns66="http://schemas.openxmlformats.org/officeDocument/2006/relationships" ref="F71" ns66:id="rId68"/>
    <x:hyperlink xmlns:ns67="http://schemas.openxmlformats.org/officeDocument/2006/relationships" ref="F72" ns67:id="rId69"/>
    <x:hyperlink xmlns:ns68="http://schemas.openxmlformats.org/officeDocument/2006/relationships" ref="F73" ns68:id="rId70"/>
    <x:hyperlink xmlns:ns69="http://schemas.openxmlformats.org/officeDocument/2006/relationships" ref="F74" ns69:id="rId71"/>
    <x:hyperlink xmlns:ns70="http://schemas.openxmlformats.org/officeDocument/2006/relationships" ref="F75" ns70:id="rId72"/>
    <x:hyperlink xmlns:ns71="http://schemas.openxmlformats.org/officeDocument/2006/relationships" ref="F76" ns71:id="rId73"/>
    <x:hyperlink xmlns:ns72="http://schemas.openxmlformats.org/officeDocument/2006/relationships" ref="F77" ns72:id="rId74"/>
    <x:hyperlink xmlns:ns73="http://schemas.openxmlformats.org/officeDocument/2006/relationships" ref="F78" ns73:id="rId75"/>
    <x:hyperlink xmlns:ns74="http://schemas.openxmlformats.org/officeDocument/2006/relationships" ref="F79" ns74:id="rId76"/>
    <x:hyperlink xmlns:ns75="http://schemas.openxmlformats.org/officeDocument/2006/relationships" ref="F80" ns75:id="rId77"/>
    <x:hyperlink xmlns:ns76="http://schemas.openxmlformats.org/officeDocument/2006/relationships" ref="F81" ns76:id="rId78"/>
    <x:hyperlink xmlns:ns77="http://schemas.openxmlformats.org/officeDocument/2006/relationships" ref="F82" ns77:id="rId79"/>
    <x:hyperlink xmlns:ns78="http://schemas.openxmlformats.org/officeDocument/2006/relationships" ref="F83" ns78:id="rId80"/>
    <x:hyperlink xmlns:ns79="http://schemas.openxmlformats.org/officeDocument/2006/relationships" ref="F84" ns79:id="rId81"/>
    <x:hyperlink xmlns:ns80="http://schemas.openxmlformats.org/officeDocument/2006/relationships" ref="F85" ns80:id="rId82"/>
    <x:hyperlink xmlns:ns81="http://schemas.openxmlformats.org/officeDocument/2006/relationships" ref="F86" ns81:id="rId83"/>
    <x:hyperlink xmlns:ns82="http://schemas.openxmlformats.org/officeDocument/2006/relationships" ref="F87" ns82:id="rId84"/>
    <x:hyperlink xmlns:ns83="http://schemas.openxmlformats.org/officeDocument/2006/relationships" ref="F88" ns83:id="rId85"/>
    <x:hyperlink xmlns:ns84="http://schemas.openxmlformats.org/officeDocument/2006/relationships" ref="F89" ns84:id="rId86"/>
    <x:hyperlink xmlns:ns85="http://schemas.openxmlformats.org/officeDocument/2006/relationships" ref="F90" ns85:id="rId87"/>
    <x:hyperlink xmlns:ns86="http://schemas.openxmlformats.org/officeDocument/2006/relationships" ref="F91" ns86:id="rId88"/>
    <x:hyperlink xmlns:ns87="http://schemas.openxmlformats.org/officeDocument/2006/relationships" ref="F92" ns87:id="rId89"/>
    <x:hyperlink xmlns:ns88="http://schemas.openxmlformats.org/officeDocument/2006/relationships" ref="F93" ns88:id="rId90"/>
    <x:hyperlink xmlns:ns89="http://schemas.openxmlformats.org/officeDocument/2006/relationships" ref="F94" ns89:id="rId91"/>
    <x:hyperlink xmlns:ns90="http://schemas.openxmlformats.org/officeDocument/2006/relationships" ref="F95" ns90:id="rId92"/>
    <x:hyperlink xmlns:ns91="http://schemas.openxmlformats.org/officeDocument/2006/relationships" ref="F96" ns91:id="rId93"/>
    <x:hyperlink xmlns:ns92="http://schemas.openxmlformats.org/officeDocument/2006/relationships" ref="F97" ns92:id="rId94"/>
    <x:hyperlink xmlns:ns93="http://schemas.openxmlformats.org/officeDocument/2006/relationships" ref="F98" ns93:id="rId95"/>
    <x:hyperlink xmlns:ns94="http://schemas.openxmlformats.org/officeDocument/2006/relationships" ref="F99" ns94:id="rId96"/>
    <x:hyperlink xmlns:ns95="http://schemas.openxmlformats.org/officeDocument/2006/relationships" ref="F100" ns95:id="rId97"/>
    <x:hyperlink xmlns:ns96="http://schemas.openxmlformats.org/officeDocument/2006/relationships" ref="F101" ns96:id="rId98"/>
    <x:hyperlink xmlns:ns97="http://schemas.openxmlformats.org/officeDocument/2006/relationships" ref="F102" ns97:id="rId99"/>
    <x:hyperlink xmlns:ns98="http://schemas.openxmlformats.org/officeDocument/2006/relationships" ref="F103" ns98:id="rId100"/>
    <x:hyperlink xmlns:ns99="http://schemas.openxmlformats.org/officeDocument/2006/relationships" ref="F104" ns99:id="rId101"/>
    <x:hyperlink xmlns:ns100="http://schemas.openxmlformats.org/officeDocument/2006/relationships" ref="F105" ns100:id="rId102"/>
    <x:hyperlink xmlns:ns101="http://schemas.openxmlformats.org/officeDocument/2006/relationships" ref="F106" ns101:id="rId103"/>
    <x:hyperlink xmlns:ns102="http://schemas.openxmlformats.org/officeDocument/2006/relationships" ref="F107" ns102:id="rId104"/>
    <x:hyperlink xmlns:ns103="http://schemas.openxmlformats.org/officeDocument/2006/relationships" ref="F108" ns103:id="rId105"/>
    <x:hyperlink xmlns:ns104="http://schemas.openxmlformats.org/officeDocument/2006/relationships" ref="F109" ns104:id="rId106"/>
    <x:hyperlink xmlns:ns105="http://schemas.openxmlformats.org/officeDocument/2006/relationships" ref="F110" ns105:id="rId107"/>
    <x:hyperlink xmlns:ns106="http://schemas.openxmlformats.org/officeDocument/2006/relationships" ref="F111" ns106:id="rId108"/>
    <x:hyperlink xmlns:ns107="http://schemas.openxmlformats.org/officeDocument/2006/relationships" ref="F112" ns107:id="rId109"/>
    <x:hyperlink xmlns:ns108="http://schemas.openxmlformats.org/officeDocument/2006/relationships" ref="F113" ns108:id="rId110"/>
    <x:hyperlink xmlns:ns109="http://schemas.openxmlformats.org/officeDocument/2006/relationships" ref="F114" ns109:id="rId111"/>
    <x:hyperlink xmlns:ns110="http://schemas.openxmlformats.org/officeDocument/2006/relationships" ref="F115" ns110:id="rId112"/>
    <x:hyperlink xmlns:ns111="http://schemas.openxmlformats.org/officeDocument/2006/relationships" ref="F116" ns111:id="rId113"/>
    <x:hyperlink xmlns:ns112="http://schemas.openxmlformats.org/officeDocument/2006/relationships" ref="F117" ns112:id="rId114"/>
    <x:hyperlink xmlns:ns113="http://schemas.openxmlformats.org/officeDocument/2006/relationships" ref="F118" ns113:id="rId115"/>
    <x:hyperlink xmlns:ns114="http://schemas.openxmlformats.org/officeDocument/2006/relationships" ref="F119" ns114:id="rId116"/>
    <x:hyperlink xmlns:ns115="http://schemas.openxmlformats.org/officeDocument/2006/relationships" ref="F120" ns115:id="rId117"/>
    <x:hyperlink xmlns:ns116="http://schemas.openxmlformats.org/officeDocument/2006/relationships" ref="F121" ns116:id="rId118"/>
    <x:hyperlink xmlns:ns117="http://schemas.openxmlformats.org/officeDocument/2006/relationships" ref="F122" ns117:id="rId119"/>
    <x:hyperlink xmlns:ns118="http://schemas.openxmlformats.org/officeDocument/2006/relationships" ref="F123" ns118:id="rId120"/>
    <x:hyperlink xmlns:ns119="http://schemas.openxmlformats.org/officeDocument/2006/relationships" ref="F124" ns119:id="rId121"/>
    <x:hyperlink xmlns:ns120="http://schemas.openxmlformats.org/officeDocument/2006/relationships" ref="F125" ns120:id="rId122"/>
    <x:hyperlink xmlns:ns121="http://schemas.openxmlformats.org/officeDocument/2006/relationships" ref="F126" ns121:id="rId123"/>
    <x:hyperlink xmlns:ns122="http://schemas.openxmlformats.org/officeDocument/2006/relationships" ref="F127" ns122:id="rId124"/>
    <x:hyperlink xmlns:ns123="http://schemas.openxmlformats.org/officeDocument/2006/relationships" ref="F128" ns123:id="rId125"/>
    <x:hyperlink xmlns:ns124="http://schemas.openxmlformats.org/officeDocument/2006/relationships" ref="F129" ns124:id="rId126"/>
    <x:hyperlink xmlns:ns125="http://schemas.openxmlformats.org/officeDocument/2006/relationships" ref="F130" ns125:id="rId127"/>
    <x:hyperlink xmlns:ns126="http://schemas.openxmlformats.org/officeDocument/2006/relationships" ref="F131" ns126:id="rId128"/>
    <x:hyperlink xmlns:ns127="http://schemas.openxmlformats.org/officeDocument/2006/relationships" ref="F132" ns127:id="rId129"/>
    <x:hyperlink xmlns:ns128="http://schemas.openxmlformats.org/officeDocument/2006/relationships" ref="F133" ns128:id="rId130"/>
    <x:hyperlink xmlns:ns129="http://schemas.openxmlformats.org/officeDocument/2006/relationships" ref="F134" ns129:id="rId131"/>
    <x:hyperlink xmlns:ns130="http://schemas.openxmlformats.org/officeDocument/2006/relationships" ref="F135" ns130:id="rId132"/>
    <x:hyperlink xmlns:ns131="http://schemas.openxmlformats.org/officeDocument/2006/relationships" ref="F136" ns131:id="rId133"/>
    <x:hyperlink xmlns:ns132="http://schemas.openxmlformats.org/officeDocument/2006/relationships" ref="F137" ns132:id="rId134"/>
    <x:hyperlink xmlns:ns133="http://schemas.openxmlformats.org/officeDocument/2006/relationships" ref="F138" ns133:id="rId135"/>
    <x:hyperlink xmlns:ns134="http://schemas.openxmlformats.org/officeDocument/2006/relationships" ref="F139" ns134:id="rId136"/>
    <x:hyperlink xmlns:ns135="http://schemas.openxmlformats.org/officeDocument/2006/relationships" ref="F140" ns135:id="rId137"/>
    <x:hyperlink xmlns:ns136="http://schemas.openxmlformats.org/officeDocument/2006/relationships" ref="F141" ns136:id="rId138"/>
    <x:hyperlink xmlns:ns137="http://schemas.openxmlformats.org/officeDocument/2006/relationships" ref="F142" ns137:id="rId139"/>
    <x:hyperlink xmlns:ns138="http://schemas.openxmlformats.org/officeDocument/2006/relationships" ref="F143" ns138:id="rId140"/>
    <x:hyperlink xmlns:ns139="http://schemas.openxmlformats.org/officeDocument/2006/relationships" ref="F144" ns139:id="rId141"/>
    <x:hyperlink xmlns:ns140="http://schemas.openxmlformats.org/officeDocument/2006/relationships" ref="F145" ns140:id="rId142"/>
    <x:hyperlink xmlns:ns141="http://schemas.openxmlformats.org/officeDocument/2006/relationships" ref="F146" ns141:id="rId143"/>
    <x:hyperlink xmlns:ns142="http://schemas.openxmlformats.org/officeDocument/2006/relationships" ref="F147" ns142:id="rId144"/>
    <x:hyperlink xmlns:ns143="http://schemas.openxmlformats.org/officeDocument/2006/relationships" ref="F148" ns143:id="rId145"/>
    <x:hyperlink xmlns:ns144="http://schemas.openxmlformats.org/officeDocument/2006/relationships" ref="F149" ns144:id="rId146"/>
    <x:hyperlink xmlns:ns145="http://schemas.openxmlformats.org/officeDocument/2006/relationships" ref="F150" ns145:id="rId147"/>
    <x:hyperlink xmlns:ns146="http://schemas.openxmlformats.org/officeDocument/2006/relationships" ref="F151" ns146:id="rId148"/>
    <x:hyperlink xmlns:ns147="http://schemas.openxmlformats.org/officeDocument/2006/relationships" ref="F152" ns147:id="rId149"/>
    <x:hyperlink xmlns:ns148="http://schemas.openxmlformats.org/officeDocument/2006/relationships" ref="F153" ns148:id="rId150"/>
    <x:hyperlink xmlns:ns149="http://schemas.openxmlformats.org/officeDocument/2006/relationships" ref="F154" ns149:id="rId151"/>
    <x:hyperlink xmlns:ns150="http://schemas.openxmlformats.org/officeDocument/2006/relationships" ref="F155" ns150:id="rId152"/>
    <x:hyperlink xmlns:ns151="http://schemas.openxmlformats.org/officeDocument/2006/relationships" ref="F156" ns151:id="rId153"/>
    <x:hyperlink xmlns:ns152="http://schemas.openxmlformats.org/officeDocument/2006/relationships" ref="F157" ns152:id="rId154"/>
    <x:hyperlink xmlns:ns153="http://schemas.openxmlformats.org/officeDocument/2006/relationships" ref="F158" ns153:id="rId155"/>
    <x:hyperlink xmlns:ns154="http://schemas.openxmlformats.org/officeDocument/2006/relationships" ref="F159" ns154:id="rId156"/>
    <x:hyperlink xmlns:ns155="http://schemas.openxmlformats.org/officeDocument/2006/relationships" ref="F160" ns155:id="rId157"/>
    <x:hyperlink xmlns:ns156="http://schemas.openxmlformats.org/officeDocument/2006/relationships" ref="F161" ns156:id="rId158"/>
    <x:hyperlink xmlns:ns157="http://schemas.openxmlformats.org/officeDocument/2006/relationships" ref="F162" ns157:id="rId159"/>
    <x:hyperlink xmlns:ns158="http://schemas.openxmlformats.org/officeDocument/2006/relationships" ref="F163" ns158:id="rId160"/>
    <x:hyperlink xmlns:ns159="http://schemas.openxmlformats.org/officeDocument/2006/relationships" ref="F164" ns159:id="rId161"/>
    <x:hyperlink xmlns:ns160="http://schemas.openxmlformats.org/officeDocument/2006/relationships" ref="F165" ns160:id="rId162"/>
    <x:hyperlink xmlns:ns161="http://schemas.openxmlformats.org/officeDocument/2006/relationships" ref="F166" ns161:id="rId163"/>
    <x:hyperlink xmlns:ns162="http://schemas.openxmlformats.org/officeDocument/2006/relationships" ref="F167" ns162:id="rId164"/>
    <x:hyperlink xmlns:ns163="http://schemas.openxmlformats.org/officeDocument/2006/relationships" ref="F168" ns163:id="rId165"/>
    <x:hyperlink xmlns:ns164="http://schemas.openxmlformats.org/officeDocument/2006/relationships" ref="F169" ns164:id="rId166"/>
    <x:hyperlink xmlns:ns165="http://schemas.openxmlformats.org/officeDocument/2006/relationships" ref="F170" ns165:id="rId167"/>
    <x:hyperlink xmlns:ns166="http://schemas.openxmlformats.org/officeDocument/2006/relationships" ref="F171" ns166:id="rId168"/>
    <x:hyperlink xmlns:ns167="http://schemas.openxmlformats.org/officeDocument/2006/relationships" ref="F172" ns167:id="rId169"/>
    <x:hyperlink xmlns:ns168="http://schemas.openxmlformats.org/officeDocument/2006/relationships" ref="F173" ns168:id="rId170"/>
    <x:hyperlink xmlns:ns169="http://schemas.openxmlformats.org/officeDocument/2006/relationships" ref="F174" ns169:id="rId171"/>
    <x:hyperlink xmlns:ns170="http://schemas.openxmlformats.org/officeDocument/2006/relationships" ref="F175" ns170:id="rId172"/>
    <x:hyperlink xmlns:ns171="http://schemas.openxmlformats.org/officeDocument/2006/relationships" ref="F176" ns171:id="rId173"/>
    <x:hyperlink xmlns:ns172="http://schemas.openxmlformats.org/officeDocument/2006/relationships" ref="F177" ns172:id="rId174"/>
    <x:hyperlink xmlns:ns173="http://schemas.openxmlformats.org/officeDocument/2006/relationships" ref="F178" ns173:id="rId175"/>
    <x:hyperlink xmlns:ns174="http://schemas.openxmlformats.org/officeDocument/2006/relationships" ref="F179" ns174:id="rId176"/>
    <x:hyperlink xmlns:ns175="http://schemas.openxmlformats.org/officeDocument/2006/relationships" ref="F180" ns175:id="rId177"/>
    <x:hyperlink xmlns:ns176="http://schemas.openxmlformats.org/officeDocument/2006/relationships" ref="F181" ns176:id="rId178"/>
    <x:hyperlink xmlns:ns177="http://schemas.openxmlformats.org/officeDocument/2006/relationships" ref="F182" ns177:id="rId179"/>
    <x:hyperlink xmlns:ns178="http://schemas.openxmlformats.org/officeDocument/2006/relationships" ref="F183" ns178:id="rId180"/>
    <x:hyperlink xmlns:ns179="http://schemas.openxmlformats.org/officeDocument/2006/relationships" ref="F184" ns179:id="rId181"/>
    <x:hyperlink xmlns:ns180="http://schemas.openxmlformats.org/officeDocument/2006/relationships" ref="F185" ns180:id="rId182"/>
    <x:hyperlink xmlns:ns181="http://schemas.openxmlformats.org/officeDocument/2006/relationships" ref="F186" ns181:id="rId183"/>
    <x:hyperlink xmlns:ns182="http://schemas.openxmlformats.org/officeDocument/2006/relationships" ref="F187" ns182:id="rId184"/>
    <x:hyperlink xmlns:ns183="http://schemas.openxmlformats.org/officeDocument/2006/relationships" ref="F188" ns183:id="rId185"/>
    <x:hyperlink xmlns:ns184="http://schemas.openxmlformats.org/officeDocument/2006/relationships" ref="F189" ns184:id="rId186"/>
    <x:hyperlink xmlns:ns185="http://schemas.openxmlformats.org/officeDocument/2006/relationships" ref="F190" ns185:id="rId187"/>
    <x:hyperlink xmlns:ns186="http://schemas.openxmlformats.org/officeDocument/2006/relationships" ref="F191" ns186:id="rId188"/>
    <x:hyperlink xmlns:ns187="http://schemas.openxmlformats.org/officeDocument/2006/relationships" ref="F192" ns187:id="rId189"/>
    <x:hyperlink xmlns:ns188="http://schemas.openxmlformats.org/officeDocument/2006/relationships" ref="F193" ns188:id="rId190"/>
    <x:hyperlink xmlns:ns189="http://schemas.openxmlformats.org/officeDocument/2006/relationships" ref="F194" ns189:id="rId191"/>
    <x:hyperlink xmlns:ns190="http://schemas.openxmlformats.org/officeDocument/2006/relationships" ref="F195" ns190:id="rId192"/>
    <x:hyperlink xmlns:ns191="http://schemas.openxmlformats.org/officeDocument/2006/relationships" ref="F196" ns191:id="rId193"/>
    <x:hyperlink xmlns:ns192="http://schemas.openxmlformats.org/officeDocument/2006/relationships" ref="F197" ns192:id="rId194"/>
    <x:hyperlink xmlns:ns193="http://schemas.openxmlformats.org/officeDocument/2006/relationships" ref="F198" ns193:id="rId195"/>
    <x:hyperlink xmlns:ns194="http://schemas.openxmlformats.org/officeDocument/2006/relationships" ref="F199" ns194:id="rId196"/>
    <x:hyperlink xmlns:ns195="http://schemas.openxmlformats.org/officeDocument/2006/relationships" ref="F200" ns195:id="rId197"/>
    <x:hyperlink xmlns:ns196="http://schemas.openxmlformats.org/officeDocument/2006/relationships" ref="F201" ns196:id="rId198"/>
    <x:hyperlink xmlns:ns197="http://schemas.openxmlformats.org/officeDocument/2006/relationships" ref="F202" ns197:id="rId199"/>
    <x:hyperlink xmlns:ns198="http://schemas.openxmlformats.org/officeDocument/2006/relationships" ref="F203" ns198:id="rId200"/>
    <x:hyperlink xmlns:ns199="http://schemas.openxmlformats.org/officeDocument/2006/relationships" ref="F204" ns199:id="rId201"/>
    <x:hyperlink xmlns:ns200="http://schemas.openxmlformats.org/officeDocument/2006/relationships" ref="F205" ns200:id="rId202"/>
    <x:hyperlink xmlns:ns201="http://schemas.openxmlformats.org/officeDocument/2006/relationships" ref="F206" ns201:id="rId203"/>
    <x:hyperlink xmlns:ns202="http://schemas.openxmlformats.org/officeDocument/2006/relationships" ref="F207" ns202:id="rId204"/>
    <x:hyperlink xmlns:ns203="http://schemas.openxmlformats.org/officeDocument/2006/relationships" ref="F208" ns203:id="rId205"/>
    <x:hyperlink xmlns:ns204="http://schemas.openxmlformats.org/officeDocument/2006/relationships" ref="F209" ns204:id="rId206"/>
    <x:hyperlink xmlns:ns205="http://schemas.openxmlformats.org/officeDocument/2006/relationships" ref="F210" ns205:id="rId207"/>
    <x:hyperlink xmlns:ns206="http://schemas.openxmlformats.org/officeDocument/2006/relationships" ref="F211" ns206:id="rId208"/>
    <x:hyperlink xmlns:ns207="http://schemas.openxmlformats.org/officeDocument/2006/relationships" ref="F212" ns207:id="rId209"/>
    <x:hyperlink xmlns:ns208="http://schemas.openxmlformats.org/officeDocument/2006/relationships" ref="F213" ns208:id="rId210"/>
    <x:hyperlink xmlns:ns209="http://schemas.openxmlformats.org/officeDocument/2006/relationships" ref="F214" ns209:id="rId211"/>
    <x:hyperlink xmlns:ns210="http://schemas.openxmlformats.org/officeDocument/2006/relationships" ref="F215" ns210:id="rId212"/>
    <x:hyperlink xmlns:ns211="http://schemas.openxmlformats.org/officeDocument/2006/relationships" ref="F216" ns211:id="rId213"/>
    <x:hyperlink xmlns:ns212="http://schemas.openxmlformats.org/officeDocument/2006/relationships" ref="F217" ns212:id="rId214"/>
    <x:hyperlink xmlns:ns213="http://schemas.openxmlformats.org/officeDocument/2006/relationships" ref="F218" ns213:id="rId215"/>
    <x:hyperlink xmlns:ns214="http://schemas.openxmlformats.org/officeDocument/2006/relationships" ref="F219" ns214:id="rId216"/>
    <x:hyperlink xmlns:ns215="http://schemas.openxmlformats.org/officeDocument/2006/relationships" ref="F220" ns215:id="rId217"/>
    <x:hyperlink xmlns:ns216="http://schemas.openxmlformats.org/officeDocument/2006/relationships" ref="F221" ns216:id="rId218"/>
    <x:hyperlink xmlns:ns217="http://schemas.openxmlformats.org/officeDocument/2006/relationships" ref="F222" ns217:id="rId219"/>
    <x:hyperlink xmlns:ns218="http://schemas.openxmlformats.org/officeDocument/2006/relationships" ref="F223" ns218:id="rId220"/>
    <x:hyperlink xmlns:ns219="http://schemas.openxmlformats.org/officeDocument/2006/relationships" ref="F224" ns219:id="rId221"/>
    <x:hyperlink xmlns:ns220="http://schemas.openxmlformats.org/officeDocument/2006/relationships" ref="F225" ns220:id="rId222"/>
    <x:hyperlink xmlns:ns221="http://schemas.openxmlformats.org/officeDocument/2006/relationships" ref="F226" ns221:id="rId223"/>
    <x:hyperlink xmlns:ns222="http://schemas.openxmlformats.org/officeDocument/2006/relationships" ref="F227" ns222:id="rId224"/>
    <x:hyperlink xmlns:ns223="http://schemas.openxmlformats.org/officeDocument/2006/relationships" ref="F228" ns223:id="rId225"/>
    <x:hyperlink xmlns:ns224="http://schemas.openxmlformats.org/officeDocument/2006/relationships" ref="F229" ns224:id="rId226"/>
    <x:hyperlink xmlns:ns225="http://schemas.openxmlformats.org/officeDocument/2006/relationships" ref="F230" ns225:id="rId227"/>
    <x:hyperlink xmlns:ns226="http://schemas.openxmlformats.org/officeDocument/2006/relationships" ref="F231" ns226:id="rId228"/>
    <x:hyperlink xmlns:ns227="http://schemas.openxmlformats.org/officeDocument/2006/relationships" ref="F232" ns227:id="rId229"/>
    <x:hyperlink xmlns:ns228="http://schemas.openxmlformats.org/officeDocument/2006/relationships" ref="F233" ns228:id="rId230"/>
    <x:hyperlink xmlns:ns229="http://schemas.openxmlformats.org/officeDocument/2006/relationships" ref="F234" ns229:id="rId231"/>
    <x:hyperlink xmlns:ns230="http://schemas.openxmlformats.org/officeDocument/2006/relationships" ref="F235" ns230:id="rId232"/>
    <x:hyperlink xmlns:ns231="http://schemas.openxmlformats.org/officeDocument/2006/relationships" ref="F236" ns231:id="rId233"/>
    <x:hyperlink xmlns:ns232="http://schemas.openxmlformats.org/officeDocument/2006/relationships" ref="F237" ns232:id="rId234"/>
    <x:hyperlink xmlns:ns233="http://schemas.openxmlformats.org/officeDocument/2006/relationships" ref="F238" ns233:id="rId235"/>
    <x:hyperlink xmlns:ns234="http://schemas.openxmlformats.org/officeDocument/2006/relationships" ref="F239" ns234:id="rId236"/>
    <x:hyperlink xmlns:ns235="http://schemas.openxmlformats.org/officeDocument/2006/relationships" ref="F240" ns235:id="rId237"/>
    <x:hyperlink xmlns:ns236="http://schemas.openxmlformats.org/officeDocument/2006/relationships" ref="F241" ns236:id="rId238"/>
    <x:hyperlink xmlns:ns237="http://schemas.openxmlformats.org/officeDocument/2006/relationships" ref="F242" ns237:id="rId239"/>
    <x:hyperlink xmlns:ns238="http://schemas.openxmlformats.org/officeDocument/2006/relationships" ref="F243" ns238:id="rId240"/>
    <x:hyperlink xmlns:ns239="http://schemas.openxmlformats.org/officeDocument/2006/relationships" ref="F244" ns239:id="rId241"/>
    <x:hyperlink xmlns:ns240="http://schemas.openxmlformats.org/officeDocument/2006/relationships" ref="F245" ns240:id="rId242"/>
    <x:hyperlink xmlns:ns241="http://schemas.openxmlformats.org/officeDocument/2006/relationships" ref="F246" ns241:id="rId243"/>
    <x:hyperlink xmlns:ns242="http://schemas.openxmlformats.org/officeDocument/2006/relationships" ref="F247" ns242:id="rId244"/>
    <x:hyperlink xmlns:ns243="http://schemas.openxmlformats.org/officeDocument/2006/relationships" ref="F248" ns243:id="rId245"/>
    <x:hyperlink xmlns:ns244="http://schemas.openxmlformats.org/officeDocument/2006/relationships" ref="F249" ns244:id="rId246"/>
    <x:hyperlink xmlns:ns245="http://schemas.openxmlformats.org/officeDocument/2006/relationships" ref="F250" ns245:id="rId247"/>
    <x:hyperlink xmlns:ns246="http://schemas.openxmlformats.org/officeDocument/2006/relationships" ref="F251" ns246:id="rId248"/>
    <x:hyperlink xmlns:ns247="http://schemas.openxmlformats.org/officeDocument/2006/relationships" ref="F252" ns247:id="rId249"/>
    <x:hyperlink xmlns:ns248="http://schemas.openxmlformats.org/officeDocument/2006/relationships" ref="F253" ns248:id="rId250"/>
    <x:hyperlink xmlns:ns249="http://schemas.openxmlformats.org/officeDocument/2006/relationships" ref="F254" ns249:id="rId251"/>
    <x:hyperlink xmlns:ns250="http://schemas.openxmlformats.org/officeDocument/2006/relationships" ref="F255" ns250:id="rId252"/>
    <x:hyperlink xmlns:ns251="http://schemas.openxmlformats.org/officeDocument/2006/relationships" ref="F256" ns251:id="rId253"/>
    <x:hyperlink xmlns:ns252="http://schemas.openxmlformats.org/officeDocument/2006/relationships" ref="F257" ns252:id="rId254"/>
    <x:hyperlink xmlns:ns253="http://schemas.openxmlformats.org/officeDocument/2006/relationships" ref="F258" ns253:id="rId255"/>
    <x:hyperlink xmlns:ns254="http://schemas.openxmlformats.org/officeDocument/2006/relationships" ref="F259" ns254:id="rId256"/>
    <x:hyperlink xmlns:ns255="http://schemas.openxmlformats.org/officeDocument/2006/relationships" ref="F260" ns255:id="rId257"/>
    <x:hyperlink xmlns:ns256="http://schemas.openxmlformats.org/officeDocument/2006/relationships" ref="F261" ns256:id="rId258"/>
    <x:hyperlink xmlns:ns257="http://schemas.openxmlformats.org/officeDocument/2006/relationships" ref="F262" ns257:id="rId259"/>
    <x:hyperlink xmlns:ns258="http://schemas.openxmlformats.org/officeDocument/2006/relationships" ref="F263" ns258:id="rId260"/>
    <x:hyperlink xmlns:ns259="http://schemas.openxmlformats.org/officeDocument/2006/relationships" ref="F264" ns259:id="rId261"/>
    <x:hyperlink xmlns:ns260="http://schemas.openxmlformats.org/officeDocument/2006/relationships" ref="F265" ns260:id="rId262"/>
    <x:hyperlink xmlns:ns261="http://schemas.openxmlformats.org/officeDocument/2006/relationships" ref="F266" ns261:id="rId263"/>
    <x:hyperlink xmlns:ns262="http://schemas.openxmlformats.org/officeDocument/2006/relationships" ref="F267" ns262:id="rId264"/>
    <x:hyperlink xmlns:ns263="http://schemas.openxmlformats.org/officeDocument/2006/relationships" ref="F268" ns263:id="rId265"/>
    <x:hyperlink xmlns:ns264="http://schemas.openxmlformats.org/officeDocument/2006/relationships" ref="F269" ns264:id="rId266"/>
    <x:hyperlink xmlns:ns265="http://schemas.openxmlformats.org/officeDocument/2006/relationships" ref="F270" ns265:id="rId267"/>
    <x:hyperlink xmlns:ns266="http://schemas.openxmlformats.org/officeDocument/2006/relationships" ref="F271" ns266:id="rId268"/>
    <x:hyperlink xmlns:ns267="http://schemas.openxmlformats.org/officeDocument/2006/relationships" ref="F272" ns267:id="rId269"/>
    <x:hyperlink xmlns:ns268="http://schemas.openxmlformats.org/officeDocument/2006/relationships" ref="F273" ns268:id="rId270"/>
    <x:hyperlink xmlns:ns269="http://schemas.openxmlformats.org/officeDocument/2006/relationships" ref="F274" ns269:id="rId271"/>
    <x:hyperlink xmlns:ns270="http://schemas.openxmlformats.org/officeDocument/2006/relationships" ref="F275" ns270:id="rId272"/>
    <x:hyperlink xmlns:ns271="http://schemas.openxmlformats.org/officeDocument/2006/relationships" ref="F276" ns271:id="rId273"/>
    <x:hyperlink xmlns:ns272="http://schemas.openxmlformats.org/officeDocument/2006/relationships" ref="F277" ns272:id="rId274"/>
    <x:hyperlink xmlns:ns273="http://schemas.openxmlformats.org/officeDocument/2006/relationships" ref="F278" ns273:id="rId275"/>
    <x:hyperlink xmlns:ns274="http://schemas.openxmlformats.org/officeDocument/2006/relationships" ref="F279" ns274:id="rId276"/>
    <x:hyperlink xmlns:ns275="http://schemas.openxmlformats.org/officeDocument/2006/relationships" ref="F280" ns275:id="rId277"/>
    <x:hyperlink xmlns:ns276="http://schemas.openxmlformats.org/officeDocument/2006/relationships" ref="F281" ns276:id="rId278"/>
    <x:hyperlink xmlns:ns277="http://schemas.openxmlformats.org/officeDocument/2006/relationships" ref="F282" ns277:id="rId279"/>
    <x:hyperlink xmlns:ns278="http://schemas.openxmlformats.org/officeDocument/2006/relationships" ref="F283" ns278:id="rId280"/>
    <x:hyperlink xmlns:ns279="http://schemas.openxmlformats.org/officeDocument/2006/relationships" ref="F284" ns279:id="rId281"/>
    <x:hyperlink xmlns:ns280="http://schemas.openxmlformats.org/officeDocument/2006/relationships" ref="F285" ns280:id="rId282"/>
    <x:hyperlink xmlns:ns281="http://schemas.openxmlformats.org/officeDocument/2006/relationships" ref="F286" ns281:id="rId283"/>
    <x:hyperlink xmlns:ns282="http://schemas.openxmlformats.org/officeDocument/2006/relationships" ref="F287" ns282:id="rId284"/>
    <x:hyperlink xmlns:ns283="http://schemas.openxmlformats.org/officeDocument/2006/relationships" ref="F288" ns283:id="rId285"/>
    <x:hyperlink xmlns:ns284="http://schemas.openxmlformats.org/officeDocument/2006/relationships" ref="F289" ns284:id="rId286"/>
    <x:hyperlink xmlns:ns285="http://schemas.openxmlformats.org/officeDocument/2006/relationships" ref="F290" ns285:id="rId287"/>
    <x:hyperlink xmlns:ns286="http://schemas.openxmlformats.org/officeDocument/2006/relationships" ref="F291" ns286:id="rId288"/>
    <x:hyperlink xmlns:ns287="http://schemas.openxmlformats.org/officeDocument/2006/relationships" ref="F292" ns287:id="rId289"/>
    <x:hyperlink xmlns:ns288="http://schemas.openxmlformats.org/officeDocument/2006/relationships" ref="F293" ns288:id="rId290"/>
    <x:hyperlink xmlns:ns289="http://schemas.openxmlformats.org/officeDocument/2006/relationships" ref="F294" ns289:id="rId291"/>
    <x:hyperlink xmlns:ns290="http://schemas.openxmlformats.org/officeDocument/2006/relationships" ref="F295" ns290:id="rId292"/>
    <x:hyperlink xmlns:ns291="http://schemas.openxmlformats.org/officeDocument/2006/relationships" ref="F296" ns291:id="rId293"/>
    <x:hyperlink xmlns:ns292="http://schemas.openxmlformats.org/officeDocument/2006/relationships" ref="F297" ns292:id="rId294"/>
    <x:hyperlink xmlns:ns293="http://schemas.openxmlformats.org/officeDocument/2006/relationships" ref="F298" ns293:id="rId295"/>
    <x:hyperlink xmlns:ns294="http://schemas.openxmlformats.org/officeDocument/2006/relationships" ref="F299" ns294:id="rId296"/>
    <x:hyperlink xmlns:ns295="http://schemas.openxmlformats.org/officeDocument/2006/relationships" ref="F300" ns295:id="rId297"/>
    <x:hyperlink xmlns:ns296="http://schemas.openxmlformats.org/officeDocument/2006/relationships" ref="F301" ns296:id="rId298"/>
    <x:hyperlink xmlns:ns297="http://schemas.openxmlformats.org/officeDocument/2006/relationships" ref="F302" ns297:id="rId299"/>
    <x:hyperlink xmlns:ns298="http://schemas.openxmlformats.org/officeDocument/2006/relationships" ref="F303" ns298:id="rId300"/>
    <x:hyperlink xmlns:ns299="http://schemas.openxmlformats.org/officeDocument/2006/relationships" ref="F304" ns299:id="rId301"/>
    <x:hyperlink xmlns:ns300="http://schemas.openxmlformats.org/officeDocument/2006/relationships" ref="F305" ns300:id="rId302"/>
    <x:hyperlink xmlns:ns301="http://schemas.openxmlformats.org/officeDocument/2006/relationships" ref="F306" ns301:id="rId303"/>
    <x:hyperlink xmlns:ns302="http://schemas.openxmlformats.org/officeDocument/2006/relationships" ref="F307" ns302:id="rId304"/>
    <x:hyperlink xmlns:ns303="http://schemas.openxmlformats.org/officeDocument/2006/relationships" ref="F308" ns303:id="rId305"/>
    <x:hyperlink xmlns:ns304="http://schemas.openxmlformats.org/officeDocument/2006/relationships" ref="F309" ns304:id="rId306"/>
    <x:hyperlink xmlns:ns305="http://schemas.openxmlformats.org/officeDocument/2006/relationships" ref="F310" ns305:id="rId307"/>
    <x:hyperlink xmlns:ns306="http://schemas.openxmlformats.org/officeDocument/2006/relationships" ref="F311" ns306:id="rId308"/>
    <x:hyperlink xmlns:ns307="http://schemas.openxmlformats.org/officeDocument/2006/relationships" ref="F312" ns307:id="rId309"/>
    <x:hyperlink xmlns:ns308="http://schemas.openxmlformats.org/officeDocument/2006/relationships" ref="F313" ns308:id="rId310"/>
    <x:hyperlink xmlns:ns309="http://schemas.openxmlformats.org/officeDocument/2006/relationships" ref="F314" ns309:id="rId311"/>
    <x:hyperlink xmlns:ns310="http://schemas.openxmlformats.org/officeDocument/2006/relationships" ref="F315" ns310:id="rId312"/>
    <x:hyperlink xmlns:ns311="http://schemas.openxmlformats.org/officeDocument/2006/relationships" ref="F316" ns311:id="rId313"/>
    <x:hyperlink xmlns:ns312="http://schemas.openxmlformats.org/officeDocument/2006/relationships" ref="F317" ns312:id="rId314"/>
    <x:hyperlink xmlns:ns313="http://schemas.openxmlformats.org/officeDocument/2006/relationships" ref="F318" ns313:id="rId315"/>
    <x:hyperlink xmlns:ns314="http://schemas.openxmlformats.org/officeDocument/2006/relationships" ref="F319" ns314:id="rId316"/>
    <x:hyperlink xmlns:ns315="http://schemas.openxmlformats.org/officeDocument/2006/relationships" ref="F320" ns315:id="rId317"/>
    <x:hyperlink xmlns:ns316="http://schemas.openxmlformats.org/officeDocument/2006/relationships" ref="F321" ns316:id="rId318"/>
    <x:hyperlink xmlns:ns317="http://schemas.openxmlformats.org/officeDocument/2006/relationships" ref="F322" ns317:id="rId319"/>
    <x:hyperlink xmlns:ns318="http://schemas.openxmlformats.org/officeDocument/2006/relationships" ref="F323" ns318:id="rId320"/>
    <x:hyperlink xmlns:ns319="http://schemas.openxmlformats.org/officeDocument/2006/relationships" ref="F324" ns319:id="rId321"/>
    <x:hyperlink xmlns:ns320="http://schemas.openxmlformats.org/officeDocument/2006/relationships" ref="F325" ns320:id="rId322"/>
    <x:hyperlink xmlns:ns321="http://schemas.openxmlformats.org/officeDocument/2006/relationships" ref="F326" ns321:id="rId323"/>
    <x:hyperlink xmlns:ns322="http://schemas.openxmlformats.org/officeDocument/2006/relationships" ref="F327" ns322:id="rId324"/>
    <x:hyperlink xmlns:ns323="http://schemas.openxmlformats.org/officeDocument/2006/relationships" ref="F328" ns323:id="rId325"/>
    <x:hyperlink xmlns:ns324="http://schemas.openxmlformats.org/officeDocument/2006/relationships" ref="F329" ns324:id="rId326"/>
    <x:hyperlink xmlns:ns325="http://schemas.openxmlformats.org/officeDocument/2006/relationships" ref="F330" ns325:id="rId327"/>
    <x:hyperlink xmlns:ns326="http://schemas.openxmlformats.org/officeDocument/2006/relationships" ref="F331" ns326:id="rId328"/>
    <x:hyperlink xmlns:ns327="http://schemas.openxmlformats.org/officeDocument/2006/relationships" ref="F332" ns327:id="rId329"/>
    <x:hyperlink xmlns:ns328="http://schemas.openxmlformats.org/officeDocument/2006/relationships" ref="F333" ns328:id="rId330"/>
    <x:hyperlink xmlns:ns329="http://schemas.openxmlformats.org/officeDocument/2006/relationships" ref="F334" ns329:id="rId331"/>
    <x:hyperlink xmlns:ns330="http://schemas.openxmlformats.org/officeDocument/2006/relationships" ref="F335" ns330:id="rId332"/>
    <x:hyperlink xmlns:ns331="http://schemas.openxmlformats.org/officeDocument/2006/relationships" ref="F336" ns331:id="rId333"/>
    <x:hyperlink xmlns:ns332="http://schemas.openxmlformats.org/officeDocument/2006/relationships" ref="F337" ns332:id="rId334"/>
    <x:hyperlink xmlns:ns333="http://schemas.openxmlformats.org/officeDocument/2006/relationships" ref="F338" ns333:id="rId335"/>
    <x:hyperlink xmlns:ns334="http://schemas.openxmlformats.org/officeDocument/2006/relationships" ref="F339" ns334:id="rId336"/>
    <x:hyperlink xmlns:ns335="http://schemas.openxmlformats.org/officeDocument/2006/relationships" ref="F340" ns335:id="rId337"/>
    <x:hyperlink xmlns:ns336="http://schemas.openxmlformats.org/officeDocument/2006/relationships" ref="F341" ns336:id="rId338"/>
    <x:hyperlink xmlns:ns337="http://schemas.openxmlformats.org/officeDocument/2006/relationships" ref="F342" ns337:id="rId339"/>
    <x:hyperlink xmlns:ns338="http://schemas.openxmlformats.org/officeDocument/2006/relationships" ref="F343" ns338:id="rId340"/>
    <x:hyperlink xmlns:ns339="http://schemas.openxmlformats.org/officeDocument/2006/relationships" ref="F344" ns339:id="rId341"/>
    <x:hyperlink xmlns:ns340="http://schemas.openxmlformats.org/officeDocument/2006/relationships" ref="F345" ns340:id="rId342"/>
    <x:hyperlink xmlns:ns341="http://schemas.openxmlformats.org/officeDocument/2006/relationships" ref="F346" ns341:id="rId343"/>
    <x:hyperlink xmlns:ns342="http://schemas.openxmlformats.org/officeDocument/2006/relationships" ref="F347" ns342:id="rId344"/>
    <x:hyperlink xmlns:ns343="http://schemas.openxmlformats.org/officeDocument/2006/relationships" ref="F348" ns343:id="rId345"/>
    <x:hyperlink xmlns:ns344="http://schemas.openxmlformats.org/officeDocument/2006/relationships" ref="F349" ns344:id="rId346"/>
    <x:hyperlink xmlns:ns345="http://schemas.openxmlformats.org/officeDocument/2006/relationships" ref="F350" ns345:id="rId347"/>
    <x:hyperlink xmlns:ns346="http://schemas.openxmlformats.org/officeDocument/2006/relationships" ref="F351" ns346:id="rId348"/>
    <x:hyperlink xmlns:ns347="http://schemas.openxmlformats.org/officeDocument/2006/relationships" ref="F352" ns347:id="rId349"/>
    <x:hyperlink xmlns:ns348="http://schemas.openxmlformats.org/officeDocument/2006/relationships" ref="F353" ns348:id="rId350"/>
    <x:hyperlink xmlns:ns349="http://schemas.openxmlformats.org/officeDocument/2006/relationships" ref="F354" ns349:id="rId351"/>
    <x:hyperlink xmlns:ns350="http://schemas.openxmlformats.org/officeDocument/2006/relationships" ref="F355" ns350:id="rId352"/>
    <x:hyperlink xmlns:ns351="http://schemas.openxmlformats.org/officeDocument/2006/relationships" ref="F356" ns351:id="rId353"/>
    <x:hyperlink xmlns:ns352="http://schemas.openxmlformats.org/officeDocument/2006/relationships" ref="F357" ns352:id="rId354"/>
    <x:hyperlink xmlns:ns353="http://schemas.openxmlformats.org/officeDocument/2006/relationships" ref="F358" ns353:id="rId355"/>
    <x:hyperlink xmlns:ns354="http://schemas.openxmlformats.org/officeDocument/2006/relationships" ref="F359" ns354:id="rId356"/>
    <x:hyperlink xmlns:ns355="http://schemas.openxmlformats.org/officeDocument/2006/relationships" ref="F360" ns355:id="rId357"/>
    <x:hyperlink xmlns:ns356="http://schemas.openxmlformats.org/officeDocument/2006/relationships" ref="F361" ns356:id="rId358"/>
    <x:hyperlink xmlns:ns357="http://schemas.openxmlformats.org/officeDocument/2006/relationships" ref="F362" ns357:id="rId359"/>
    <x:hyperlink xmlns:ns358="http://schemas.openxmlformats.org/officeDocument/2006/relationships" ref="F363" ns358:id="rId360"/>
    <x:hyperlink xmlns:ns359="http://schemas.openxmlformats.org/officeDocument/2006/relationships" ref="F364" ns359:id="rId361"/>
    <x:hyperlink xmlns:ns360="http://schemas.openxmlformats.org/officeDocument/2006/relationships" ref="F365" ns360:id="rId362"/>
    <x:hyperlink xmlns:ns361="http://schemas.openxmlformats.org/officeDocument/2006/relationships" ref="F366" ns361:id="rId363"/>
    <x:hyperlink xmlns:ns362="http://schemas.openxmlformats.org/officeDocument/2006/relationships" ref="F367" ns362:id="rId364"/>
    <x:hyperlink xmlns:ns363="http://schemas.openxmlformats.org/officeDocument/2006/relationships" ref="F368" ns363:id="rId365"/>
    <x:hyperlink xmlns:ns364="http://schemas.openxmlformats.org/officeDocument/2006/relationships" ref="F369" ns364:id="rId366"/>
    <x:hyperlink xmlns:ns365="http://schemas.openxmlformats.org/officeDocument/2006/relationships" ref="F370" ns365:id="rId367"/>
    <x:hyperlink xmlns:ns366="http://schemas.openxmlformats.org/officeDocument/2006/relationships" ref="F371" ns366:id="rId368"/>
    <x:hyperlink xmlns:ns367="http://schemas.openxmlformats.org/officeDocument/2006/relationships" ref="F372" ns367:id="rId369"/>
    <x:hyperlink xmlns:ns368="http://schemas.openxmlformats.org/officeDocument/2006/relationships" ref="F373" ns368:id="rId370"/>
    <x:hyperlink xmlns:ns369="http://schemas.openxmlformats.org/officeDocument/2006/relationships" ref="F374" ns369:id="rId371"/>
    <x:hyperlink xmlns:ns370="http://schemas.openxmlformats.org/officeDocument/2006/relationships" ref="F375" ns370:id="rId372"/>
    <x:hyperlink xmlns:ns371="http://schemas.openxmlformats.org/officeDocument/2006/relationships" ref="F376" ns371:id="rId373"/>
    <x:hyperlink xmlns:ns372="http://schemas.openxmlformats.org/officeDocument/2006/relationships" ref="F377" ns372:id="rId374"/>
    <x:hyperlink xmlns:ns373="http://schemas.openxmlformats.org/officeDocument/2006/relationships" ref="F378" ns373:id="rId375"/>
    <x:hyperlink xmlns:ns374="http://schemas.openxmlformats.org/officeDocument/2006/relationships" ref="F379" ns374:id="rId376"/>
    <x:hyperlink xmlns:ns375="http://schemas.openxmlformats.org/officeDocument/2006/relationships" ref="F380" ns375:id="rId377"/>
    <x:hyperlink xmlns:ns376="http://schemas.openxmlformats.org/officeDocument/2006/relationships" ref="F381" ns376:id="rId378"/>
    <x:hyperlink xmlns:ns377="http://schemas.openxmlformats.org/officeDocument/2006/relationships" ref="F382" ns377:id="rId379"/>
    <x:hyperlink xmlns:ns378="http://schemas.openxmlformats.org/officeDocument/2006/relationships" ref="F383" ns378:id="rId380"/>
    <x:hyperlink xmlns:ns379="http://schemas.openxmlformats.org/officeDocument/2006/relationships" ref="F384" ns379:id="rId381"/>
    <x:hyperlink xmlns:ns380="http://schemas.openxmlformats.org/officeDocument/2006/relationships" ref="F385" ns380:id="rId382"/>
    <x:hyperlink xmlns:ns381="http://schemas.openxmlformats.org/officeDocument/2006/relationships" ref="F386" ns381:id="rId383"/>
    <x:hyperlink xmlns:ns382="http://schemas.openxmlformats.org/officeDocument/2006/relationships" ref="F387" ns382:id="rId384"/>
    <x:hyperlink xmlns:ns383="http://schemas.openxmlformats.org/officeDocument/2006/relationships" ref="F388" ns383:id="rId385"/>
    <x:hyperlink xmlns:ns384="http://schemas.openxmlformats.org/officeDocument/2006/relationships" ref="F389" ns384:id="rId386"/>
    <x:hyperlink xmlns:ns385="http://schemas.openxmlformats.org/officeDocument/2006/relationships" ref="F390" ns385:id="rId387"/>
    <x:hyperlink xmlns:ns386="http://schemas.openxmlformats.org/officeDocument/2006/relationships" ref="F391" ns386:id="rId388"/>
    <x:hyperlink xmlns:ns387="http://schemas.openxmlformats.org/officeDocument/2006/relationships" ref="F392" ns387:id="rId389"/>
    <x:hyperlink xmlns:ns388="http://schemas.openxmlformats.org/officeDocument/2006/relationships" ref="F393" ns388:id="rId390"/>
    <x:hyperlink xmlns:ns389="http://schemas.openxmlformats.org/officeDocument/2006/relationships" ref="F394" ns389:id="rId391"/>
    <x:hyperlink xmlns:ns390="http://schemas.openxmlformats.org/officeDocument/2006/relationships" ref="F395" ns390:id="rId392"/>
    <x:hyperlink xmlns:ns391="http://schemas.openxmlformats.org/officeDocument/2006/relationships" ref="F396" ns391:id="rId393"/>
    <x:hyperlink xmlns:ns392="http://schemas.openxmlformats.org/officeDocument/2006/relationships" ref="F397" ns392:id="rId394"/>
    <x:hyperlink xmlns:ns393="http://schemas.openxmlformats.org/officeDocument/2006/relationships" ref="F398" ns393:id="rId395"/>
    <x:hyperlink xmlns:ns394="http://schemas.openxmlformats.org/officeDocument/2006/relationships" ref="F399" ns394:id="rId396"/>
    <x:hyperlink xmlns:ns395="http://schemas.openxmlformats.org/officeDocument/2006/relationships" ref="F400" ns395:id="rId397"/>
    <x:hyperlink xmlns:ns396="http://schemas.openxmlformats.org/officeDocument/2006/relationships" ref="F401" ns396:id="rId398"/>
    <x:hyperlink xmlns:ns397="http://schemas.openxmlformats.org/officeDocument/2006/relationships" ref="F402" ns397:id="rId399"/>
    <x:hyperlink xmlns:ns398="http://schemas.openxmlformats.org/officeDocument/2006/relationships" ref="F403" ns398:id="rId400"/>
    <x:hyperlink xmlns:ns399="http://schemas.openxmlformats.org/officeDocument/2006/relationships" ref="F404" ns399:id="rId401"/>
    <x:hyperlink xmlns:ns400="http://schemas.openxmlformats.org/officeDocument/2006/relationships" ref="F405" ns400:id="rId402"/>
    <x:hyperlink xmlns:ns401="http://schemas.openxmlformats.org/officeDocument/2006/relationships" ref="F406" ns401:id="rId403"/>
    <x:hyperlink xmlns:ns402="http://schemas.openxmlformats.org/officeDocument/2006/relationships" ref="F407" ns402:id="rId404"/>
    <x:hyperlink xmlns:ns403="http://schemas.openxmlformats.org/officeDocument/2006/relationships" ref="F408" ns403:id="rId405"/>
    <x:hyperlink xmlns:ns404="http://schemas.openxmlformats.org/officeDocument/2006/relationships" ref="F409" ns404:id="rId406"/>
    <x:hyperlink xmlns:ns405="http://schemas.openxmlformats.org/officeDocument/2006/relationships" ref="F410" ns405:id="rId407"/>
    <x:hyperlink xmlns:ns406="http://schemas.openxmlformats.org/officeDocument/2006/relationships" ref="F411" ns406:id="rId408"/>
    <x:hyperlink xmlns:ns407="http://schemas.openxmlformats.org/officeDocument/2006/relationships" ref="F412" ns407:id="rId409"/>
    <x:hyperlink xmlns:ns408="http://schemas.openxmlformats.org/officeDocument/2006/relationships" ref="F413" ns408:id="rId410"/>
    <x:hyperlink xmlns:ns409="http://schemas.openxmlformats.org/officeDocument/2006/relationships" ref="F414" ns409:id="rId411"/>
    <x:hyperlink xmlns:ns410="http://schemas.openxmlformats.org/officeDocument/2006/relationships" ref="F415" ns410:id="rId412"/>
    <x:hyperlink xmlns:ns411="http://schemas.openxmlformats.org/officeDocument/2006/relationships" ref="F416" ns411:id="rId413"/>
    <x:hyperlink xmlns:ns412="http://schemas.openxmlformats.org/officeDocument/2006/relationships" ref="F417" ns412:id="rId414"/>
    <x:hyperlink xmlns:ns413="http://schemas.openxmlformats.org/officeDocument/2006/relationships" ref="F418" ns413:id="rId415"/>
    <x:hyperlink xmlns:ns414="http://schemas.openxmlformats.org/officeDocument/2006/relationships" ref="F419" ns414:id="rId416"/>
    <x:hyperlink xmlns:ns415="http://schemas.openxmlformats.org/officeDocument/2006/relationships" ref="F420" ns415:id="rId417"/>
    <x:hyperlink xmlns:ns416="http://schemas.openxmlformats.org/officeDocument/2006/relationships" ref="F421" ns416:id="rId418"/>
    <x:hyperlink xmlns:ns417="http://schemas.openxmlformats.org/officeDocument/2006/relationships" ref="F422" ns417:id="rId419"/>
    <x:hyperlink xmlns:ns418="http://schemas.openxmlformats.org/officeDocument/2006/relationships" ref="F423" ns418:id="rId420"/>
    <x:hyperlink xmlns:ns419="http://schemas.openxmlformats.org/officeDocument/2006/relationships" ref="F424" ns419:id="rId421"/>
    <x:hyperlink xmlns:ns420="http://schemas.openxmlformats.org/officeDocument/2006/relationships" ref="F425" ns420:id="rId422"/>
    <x:hyperlink xmlns:ns421="http://schemas.openxmlformats.org/officeDocument/2006/relationships" ref="F426" ns421:id="rId423"/>
    <x:hyperlink xmlns:ns422="http://schemas.openxmlformats.org/officeDocument/2006/relationships" ref="F427" ns422:id="rId424"/>
    <x:hyperlink xmlns:ns423="http://schemas.openxmlformats.org/officeDocument/2006/relationships" ref="F428" ns423:id="rId425"/>
    <x:hyperlink xmlns:ns424="http://schemas.openxmlformats.org/officeDocument/2006/relationships" ref="F429" ns424:id="rId426"/>
    <x:hyperlink xmlns:ns425="http://schemas.openxmlformats.org/officeDocument/2006/relationships" ref="F430" ns425:id="rId427"/>
    <x:hyperlink xmlns:ns426="http://schemas.openxmlformats.org/officeDocument/2006/relationships" ref="F431" ns426:id="rId428"/>
    <x:hyperlink xmlns:ns427="http://schemas.openxmlformats.org/officeDocument/2006/relationships" ref="F432" ns427:id="rId429"/>
    <x:hyperlink xmlns:ns428="http://schemas.openxmlformats.org/officeDocument/2006/relationships" ref="F433" ns428:id="rId430"/>
    <x:hyperlink xmlns:ns429="http://schemas.openxmlformats.org/officeDocument/2006/relationships" ref="F434" ns429:id="rId431"/>
    <x:hyperlink xmlns:ns430="http://schemas.openxmlformats.org/officeDocument/2006/relationships" ref="F435" ns430:id="rId432"/>
    <x:hyperlink xmlns:ns431="http://schemas.openxmlformats.org/officeDocument/2006/relationships" ref="F436" ns431:id="rId433"/>
    <x:hyperlink xmlns:ns432="http://schemas.openxmlformats.org/officeDocument/2006/relationships" ref="F437" ns432:id="rId434"/>
    <x:hyperlink xmlns:ns433="http://schemas.openxmlformats.org/officeDocument/2006/relationships" ref="F438" ns433:id="rId435"/>
    <x:hyperlink xmlns:ns434="http://schemas.openxmlformats.org/officeDocument/2006/relationships" ref="F439" ns434:id="rId436"/>
    <x:hyperlink xmlns:ns435="http://schemas.openxmlformats.org/officeDocument/2006/relationships" ref="F440" ns435:id="rId437"/>
    <x:hyperlink xmlns:ns436="http://schemas.openxmlformats.org/officeDocument/2006/relationships" ref="F441" ns436:id="rId438"/>
    <x:hyperlink xmlns:ns437="http://schemas.openxmlformats.org/officeDocument/2006/relationships" ref="F442" ns437:id="rId439"/>
    <x:hyperlink xmlns:ns438="http://schemas.openxmlformats.org/officeDocument/2006/relationships" ref="F443" ns438:id="rId440"/>
    <x:hyperlink xmlns:ns439="http://schemas.openxmlformats.org/officeDocument/2006/relationships" ref="F444" ns439:id="rId441"/>
    <x:hyperlink xmlns:ns440="http://schemas.openxmlformats.org/officeDocument/2006/relationships" ref="F445" ns440:id="rId442"/>
    <x:hyperlink xmlns:ns441="http://schemas.openxmlformats.org/officeDocument/2006/relationships" ref="F446" ns441:id="rId443"/>
    <x:hyperlink xmlns:ns442="http://schemas.openxmlformats.org/officeDocument/2006/relationships" ref="F447" ns442:id="rId444"/>
    <x:hyperlink xmlns:ns443="http://schemas.openxmlformats.org/officeDocument/2006/relationships" ref="F448" ns443:id="rId445"/>
    <x:hyperlink xmlns:ns444="http://schemas.openxmlformats.org/officeDocument/2006/relationships" ref="F449" ns444:id="rId446"/>
    <x:hyperlink xmlns:ns445="http://schemas.openxmlformats.org/officeDocument/2006/relationships" ref="F450" ns445:id="rId447"/>
    <x:hyperlink xmlns:ns446="http://schemas.openxmlformats.org/officeDocument/2006/relationships" ref="F451" ns446:id="rId448"/>
    <x:hyperlink xmlns:ns447="http://schemas.openxmlformats.org/officeDocument/2006/relationships" ref="F452" ns447:id="rId449"/>
    <x:hyperlink xmlns:ns448="http://schemas.openxmlformats.org/officeDocument/2006/relationships" ref="F453" ns448:id="rId450"/>
    <x:hyperlink xmlns:ns449="http://schemas.openxmlformats.org/officeDocument/2006/relationships" ref="F454" ns449:id="rId451"/>
    <x:hyperlink xmlns:ns450="http://schemas.openxmlformats.org/officeDocument/2006/relationships" ref="F455" ns450:id="rId452"/>
    <x:hyperlink xmlns:ns451="http://schemas.openxmlformats.org/officeDocument/2006/relationships" ref="F456" ns451:id="rId453"/>
    <x:hyperlink xmlns:ns452="http://schemas.openxmlformats.org/officeDocument/2006/relationships" ref="F457" ns452:id="rId454"/>
    <x:hyperlink xmlns:ns453="http://schemas.openxmlformats.org/officeDocument/2006/relationships" ref="F458" ns453:id="rId455"/>
    <x:hyperlink xmlns:ns454="http://schemas.openxmlformats.org/officeDocument/2006/relationships" ref="F459" ns454:id="rId456"/>
    <x:hyperlink xmlns:ns455="http://schemas.openxmlformats.org/officeDocument/2006/relationships" ref="F460" ns455:id="rId457"/>
    <x:hyperlink xmlns:ns456="http://schemas.openxmlformats.org/officeDocument/2006/relationships" ref="F461" ns456:id="rId458"/>
    <x:hyperlink xmlns:ns457="http://schemas.openxmlformats.org/officeDocument/2006/relationships" ref="F462" ns457:id="rId459"/>
    <x:hyperlink xmlns:ns458="http://schemas.openxmlformats.org/officeDocument/2006/relationships" ref="F463" ns458:id="rId460"/>
    <x:hyperlink xmlns:ns459="http://schemas.openxmlformats.org/officeDocument/2006/relationships" ref="F464" ns459:id="rId461"/>
    <x:hyperlink xmlns:ns460="http://schemas.openxmlformats.org/officeDocument/2006/relationships" ref="F465" ns460:id="rId462"/>
    <x:hyperlink xmlns:ns461="http://schemas.openxmlformats.org/officeDocument/2006/relationships" ref="F466" ns461:id="rId463"/>
    <x:hyperlink xmlns:ns462="http://schemas.openxmlformats.org/officeDocument/2006/relationships" ref="F467" ns462:id="rId464"/>
    <x:hyperlink xmlns:ns463="http://schemas.openxmlformats.org/officeDocument/2006/relationships" ref="F468" ns463:id="rId465"/>
    <x:hyperlink xmlns:ns464="http://schemas.openxmlformats.org/officeDocument/2006/relationships" ref="F469" ns464:id="rId466"/>
    <x:hyperlink xmlns:ns465="http://schemas.openxmlformats.org/officeDocument/2006/relationships" ref="F470" ns465:id="rId467"/>
    <x:hyperlink xmlns:ns466="http://schemas.openxmlformats.org/officeDocument/2006/relationships" ref="F471" ns466:id="rId468"/>
    <x:hyperlink xmlns:ns467="http://schemas.openxmlformats.org/officeDocument/2006/relationships" ref="F472" ns467:id="rId469"/>
    <x:hyperlink xmlns:ns468="http://schemas.openxmlformats.org/officeDocument/2006/relationships" ref="F473" ns468:id="rId470"/>
    <x:hyperlink xmlns:ns469="http://schemas.openxmlformats.org/officeDocument/2006/relationships" ref="F474" ns469:id="rId471"/>
    <x:hyperlink xmlns:ns470="http://schemas.openxmlformats.org/officeDocument/2006/relationships" ref="F475" ns470:id="rId472"/>
    <x:hyperlink xmlns:ns471="http://schemas.openxmlformats.org/officeDocument/2006/relationships" ref="F476" ns471:id="rId473"/>
    <x:hyperlink xmlns:ns472="http://schemas.openxmlformats.org/officeDocument/2006/relationships" ref="F477" ns472:id="rId474"/>
    <x:hyperlink xmlns:ns473="http://schemas.openxmlformats.org/officeDocument/2006/relationships" ref="F478" ns473:id="rId475"/>
    <x:hyperlink xmlns:ns474="http://schemas.openxmlformats.org/officeDocument/2006/relationships" ref="F479" ns474:id="rId476"/>
    <x:hyperlink xmlns:ns475="http://schemas.openxmlformats.org/officeDocument/2006/relationships" ref="F480" ns475:id="rId477"/>
    <x:hyperlink xmlns:ns476="http://schemas.openxmlformats.org/officeDocument/2006/relationships" ref="F481" ns476:id="rId478"/>
    <x:hyperlink xmlns:ns477="http://schemas.openxmlformats.org/officeDocument/2006/relationships" ref="F482" ns477:id="rId479"/>
    <x:hyperlink xmlns:ns478="http://schemas.openxmlformats.org/officeDocument/2006/relationships" ref="F483" ns478:id="rId480"/>
    <x:hyperlink xmlns:ns479="http://schemas.openxmlformats.org/officeDocument/2006/relationships" ref="F484" ns479:id="rId481"/>
    <x:hyperlink xmlns:ns480="http://schemas.openxmlformats.org/officeDocument/2006/relationships" ref="F485" ns480:id="rId482"/>
    <x:hyperlink xmlns:ns481="http://schemas.openxmlformats.org/officeDocument/2006/relationships" ref="F486" ns481:id="rId483"/>
    <x:hyperlink xmlns:ns482="http://schemas.openxmlformats.org/officeDocument/2006/relationships" ref="F487" ns482:id="rId484"/>
    <x:hyperlink xmlns:ns483="http://schemas.openxmlformats.org/officeDocument/2006/relationships" ref="F488" ns483:id="rId485"/>
    <x:hyperlink xmlns:ns484="http://schemas.openxmlformats.org/officeDocument/2006/relationships" ref="F489" ns484:id="rId486"/>
    <x:hyperlink xmlns:ns485="http://schemas.openxmlformats.org/officeDocument/2006/relationships" ref="F490" ns485:id="rId487"/>
    <x:hyperlink xmlns:ns486="http://schemas.openxmlformats.org/officeDocument/2006/relationships" ref="F491" ns486:id="rId488"/>
    <x:hyperlink xmlns:ns487="http://schemas.openxmlformats.org/officeDocument/2006/relationships" ref="F492" ns487:id="rId489"/>
    <x:hyperlink xmlns:ns488="http://schemas.openxmlformats.org/officeDocument/2006/relationships" ref="F493" ns488:id="rId490"/>
    <x:hyperlink xmlns:ns489="http://schemas.openxmlformats.org/officeDocument/2006/relationships" ref="F494" ns489:id="rId491"/>
    <x:hyperlink xmlns:ns490="http://schemas.openxmlformats.org/officeDocument/2006/relationships" ref="F495" ns490:id="rId492"/>
    <x:hyperlink xmlns:ns491="http://schemas.openxmlformats.org/officeDocument/2006/relationships" ref="F496" ns491:id="rId493"/>
    <x:hyperlink xmlns:ns492="http://schemas.openxmlformats.org/officeDocument/2006/relationships" ref="F497" ns492:id="rId494"/>
    <x:hyperlink xmlns:ns493="http://schemas.openxmlformats.org/officeDocument/2006/relationships" ref="F498" ns493:id="rId495"/>
    <x:hyperlink xmlns:ns494="http://schemas.openxmlformats.org/officeDocument/2006/relationships" ref="F499" ns494:id="rId496"/>
    <x:hyperlink xmlns:ns495="http://schemas.openxmlformats.org/officeDocument/2006/relationships" ref="F500" ns495:id="rId497"/>
    <x:hyperlink xmlns:ns496="http://schemas.openxmlformats.org/officeDocument/2006/relationships" ref="F501" ns496:id="rId498"/>
    <x:hyperlink xmlns:ns497="http://schemas.openxmlformats.org/officeDocument/2006/relationships" ref="F502" ns497:id="rId499"/>
    <x:hyperlink xmlns:ns498="http://schemas.openxmlformats.org/officeDocument/2006/relationships" ref="F503" ns498:id="rId500"/>
    <x:hyperlink xmlns:ns499="http://schemas.openxmlformats.org/officeDocument/2006/relationships" ref="F504" ns499:id="rId501"/>
    <x:hyperlink xmlns:ns500="http://schemas.openxmlformats.org/officeDocument/2006/relationships" ref="F505" ns500:id="rId502"/>
    <x:hyperlink xmlns:ns501="http://schemas.openxmlformats.org/officeDocument/2006/relationships" ref="F506" ns501:id="rId503"/>
    <x:hyperlink xmlns:ns502="http://schemas.openxmlformats.org/officeDocument/2006/relationships" ref="F507" ns502:id="rId504"/>
    <x:hyperlink xmlns:ns503="http://schemas.openxmlformats.org/officeDocument/2006/relationships" ref="F508" ns503:id="rId505"/>
    <x:hyperlink xmlns:ns504="http://schemas.openxmlformats.org/officeDocument/2006/relationships" ref="F509" ns504:id="rId506"/>
    <x:hyperlink xmlns:ns505="http://schemas.openxmlformats.org/officeDocument/2006/relationships" ref="F510" ns505:id="rId507"/>
    <x:hyperlink xmlns:ns506="http://schemas.openxmlformats.org/officeDocument/2006/relationships" ref="F511" ns506:id="rId508"/>
    <x:hyperlink xmlns:ns507="http://schemas.openxmlformats.org/officeDocument/2006/relationships" ref="F512" ns507:id="rId509"/>
    <x:hyperlink xmlns:ns508="http://schemas.openxmlformats.org/officeDocument/2006/relationships" ref="F513" ns508:id="rId510"/>
    <x:hyperlink xmlns:ns509="http://schemas.openxmlformats.org/officeDocument/2006/relationships" ref="F514" ns509:id="rId511"/>
    <x:hyperlink xmlns:ns510="http://schemas.openxmlformats.org/officeDocument/2006/relationships" ref="F515" ns510:id="rId512"/>
    <x:hyperlink xmlns:ns511="http://schemas.openxmlformats.org/officeDocument/2006/relationships" ref="F516" ns511:id="rId513"/>
    <x:hyperlink xmlns:ns512="http://schemas.openxmlformats.org/officeDocument/2006/relationships" ref="F517" ns512:id="rId514"/>
    <x:hyperlink xmlns:ns513="http://schemas.openxmlformats.org/officeDocument/2006/relationships" ref="F518" ns513:id="rId515"/>
    <x:hyperlink xmlns:ns514="http://schemas.openxmlformats.org/officeDocument/2006/relationships" ref="F519" ns514:id="rId516"/>
    <x:hyperlink xmlns:ns515="http://schemas.openxmlformats.org/officeDocument/2006/relationships" ref="F520" ns515:id="rId517"/>
    <x:hyperlink xmlns:ns516="http://schemas.openxmlformats.org/officeDocument/2006/relationships" ref="F521" ns516:id="rId518"/>
    <x:hyperlink xmlns:ns517="http://schemas.openxmlformats.org/officeDocument/2006/relationships" ref="F522" ns517:id="rId519"/>
    <x:hyperlink xmlns:ns518="http://schemas.openxmlformats.org/officeDocument/2006/relationships" ref="F523" ns518:id="rId520"/>
    <x:hyperlink xmlns:ns519="http://schemas.openxmlformats.org/officeDocument/2006/relationships" ref="F524" ns519:id="rId521"/>
    <x:hyperlink xmlns:ns520="http://schemas.openxmlformats.org/officeDocument/2006/relationships" ref="F525" ns520:id="rId522"/>
    <x:hyperlink xmlns:ns521="http://schemas.openxmlformats.org/officeDocument/2006/relationships" ref="F526" ns521:id="rId523"/>
    <x:hyperlink xmlns:ns522="http://schemas.openxmlformats.org/officeDocument/2006/relationships" ref="F527" ns522:id="rId524"/>
    <x:hyperlink xmlns:ns523="http://schemas.openxmlformats.org/officeDocument/2006/relationships" ref="F528" ns523:id="rId525"/>
    <x:hyperlink xmlns:ns524="http://schemas.openxmlformats.org/officeDocument/2006/relationships" ref="F529" ns524:id="rId526"/>
    <x:hyperlink xmlns:ns525="http://schemas.openxmlformats.org/officeDocument/2006/relationships" ref="F530" ns525:id="rId527"/>
    <x:hyperlink xmlns:ns526="http://schemas.openxmlformats.org/officeDocument/2006/relationships" ref="F531" ns526:id="rId528"/>
    <x:hyperlink xmlns:ns527="http://schemas.openxmlformats.org/officeDocument/2006/relationships" ref="F532" ns527:id="rId529"/>
    <x:hyperlink xmlns:ns528="http://schemas.openxmlformats.org/officeDocument/2006/relationships" ref="F533" ns528:id="rId530"/>
    <x:hyperlink xmlns:ns529="http://schemas.openxmlformats.org/officeDocument/2006/relationships" ref="F534" ns529:id="rId531"/>
    <x:hyperlink xmlns:ns530="http://schemas.openxmlformats.org/officeDocument/2006/relationships" ref="F535" ns530:id="rId532"/>
    <x:hyperlink xmlns:ns531="http://schemas.openxmlformats.org/officeDocument/2006/relationships" ref="F536" ns531:id="rId533"/>
    <x:hyperlink xmlns:ns532="http://schemas.openxmlformats.org/officeDocument/2006/relationships" ref="F537" ns532:id="rId534"/>
    <x:hyperlink xmlns:ns533="http://schemas.openxmlformats.org/officeDocument/2006/relationships" ref="F538" ns533:id="rId535"/>
    <x:hyperlink xmlns:ns534="http://schemas.openxmlformats.org/officeDocument/2006/relationships" ref="F539" ns534:id="rId536"/>
    <x:hyperlink xmlns:ns535="http://schemas.openxmlformats.org/officeDocument/2006/relationships" ref="F540" ns535:id="rId537"/>
    <x:hyperlink xmlns:ns536="http://schemas.openxmlformats.org/officeDocument/2006/relationships" ref="F541" ns536:id="rId538"/>
    <x:hyperlink xmlns:ns537="http://schemas.openxmlformats.org/officeDocument/2006/relationships" ref="F542" ns537:id="rId539"/>
    <x:hyperlink xmlns:ns538="http://schemas.openxmlformats.org/officeDocument/2006/relationships" ref="F543" ns538:id="rId540"/>
    <x:hyperlink xmlns:ns539="http://schemas.openxmlformats.org/officeDocument/2006/relationships" ref="F544" ns539:id="rId541"/>
    <x:hyperlink xmlns:ns540="http://schemas.openxmlformats.org/officeDocument/2006/relationships" ref="F545" ns540:id="rId542"/>
    <x:hyperlink xmlns:ns541="http://schemas.openxmlformats.org/officeDocument/2006/relationships" ref="F546" ns541:id="rId543"/>
    <x:hyperlink xmlns:ns542="http://schemas.openxmlformats.org/officeDocument/2006/relationships" ref="F547" ns542:id="rId544"/>
    <x:hyperlink xmlns:ns543="http://schemas.openxmlformats.org/officeDocument/2006/relationships" ref="F548" ns543:id="rId545"/>
    <x:hyperlink xmlns:ns544="http://schemas.openxmlformats.org/officeDocument/2006/relationships" ref="F549" ns544:id="rId546"/>
    <x:hyperlink xmlns:ns545="http://schemas.openxmlformats.org/officeDocument/2006/relationships" ref="F550" ns545:id="rId547"/>
    <x:hyperlink xmlns:ns546="http://schemas.openxmlformats.org/officeDocument/2006/relationships" ref="F551" ns546:id="rId548"/>
    <x:hyperlink xmlns:ns547="http://schemas.openxmlformats.org/officeDocument/2006/relationships" ref="F552" ns547:id="rId549"/>
    <x:hyperlink xmlns:ns548="http://schemas.openxmlformats.org/officeDocument/2006/relationships" ref="F553" ns548:id="rId550"/>
    <x:hyperlink xmlns:ns549="http://schemas.openxmlformats.org/officeDocument/2006/relationships" ref="F554" ns549:id="rId551"/>
    <x:hyperlink xmlns:ns550="http://schemas.openxmlformats.org/officeDocument/2006/relationships" ref="F555" ns550:id="rId552"/>
    <x:hyperlink xmlns:ns551="http://schemas.openxmlformats.org/officeDocument/2006/relationships" ref="F556" ns551:id="rId553"/>
    <x:hyperlink xmlns:ns552="http://schemas.openxmlformats.org/officeDocument/2006/relationships" ref="F557" ns552:id="rId554"/>
    <x:hyperlink xmlns:ns553="http://schemas.openxmlformats.org/officeDocument/2006/relationships" ref="F558" ns553:id="rId555"/>
    <x:hyperlink xmlns:ns554="http://schemas.openxmlformats.org/officeDocument/2006/relationships" ref="F559" ns554:id="rId556"/>
    <x:hyperlink xmlns:ns555="http://schemas.openxmlformats.org/officeDocument/2006/relationships" ref="F560" ns555:id="rId557"/>
    <x:hyperlink xmlns:ns556="http://schemas.openxmlformats.org/officeDocument/2006/relationships" ref="F561" ns556:id="rId558"/>
    <x:hyperlink xmlns:ns557="http://schemas.openxmlformats.org/officeDocument/2006/relationships" ref="F562" ns557:id="rId559"/>
    <x:hyperlink xmlns:ns558="http://schemas.openxmlformats.org/officeDocument/2006/relationships" ref="F563" ns558:id="rId560"/>
    <x:hyperlink xmlns:ns559="http://schemas.openxmlformats.org/officeDocument/2006/relationships" ref="F564" ns559:id="rId561"/>
    <x:hyperlink xmlns:ns560="http://schemas.openxmlformats.org/officeDocument/2006/relationships" ref="F565" ns560:id="rId562"/>
    <x:hyperlink xmlns:ns561="http://schemas.openxmlformats.org/officeDocument/2006/relationships" ref="F566" ns561:id="rId563"/>
    <x:hyperlink xmlns:ns562="http://schemas.openxmlformats.org/officeDocument/2006/relationships" ref="F567" ns562:id="rId564"/>
    <x:hyperlink xmlns:ns563="http://schemas.openxmlformats.org/officeDocument/2006/relationships" ref="F568" ns563:id="rId565"/>
    <x:hyperlink xmlns:ns564="http://schemas.openxmlformats.org/officeDocument/2006/relationships" ref="F569" ns564:id="rId566"/>
    <x:hyperlink xmlns:ns565="http://schemas.openxmlformats.org/officeDocument/2006/relationships" ref="F570" ns565:id="rId567"/>
    <x:hyperlink xmlns:ns566="http://schemas.openxmlformats.org/officeDocument/2006/relationships" ref="F571" ns566:id="rId568"/>
    <x:hyperlink xmlns:ns567="http://schemas.openxmlformats.org/officeDocument/2006/relationships" ref="F572" ns567:id="rId569"/>
    <x:hyperlink xmlns:ns568="http://schemas.openxmlformats.org/officeDocument/2006/relationships" ref="F573" ns568:id="rId570"/>
    <x:hyperlink xmlns:ns569="http://schemas.openxmlformats.org/officeDocument/2006/relationships" ref="F574" ns569:id="rId571"/>
    <x:hyperlink xmlns:ns570="http://schemas.openxmlformats.org/officeDocument/2006/relationships" ref="F575" ns570:id="rId572"/>
    <x:hyperlink xmlns:ns571="http://schemas.openxmlformats.org/officeDocument/2006/relationships" ref="F576" ns571:id="rId573"/>
    <x:hyperlink xmlns:ns572="http://schemas.openxmlformats.org/officeDocument/2006/relationships" ref="F577" ns572:id="rId574"/>
    <x:hyperlink xmlns:ns573="http://schemas.openxmlformats.org/officeDocument/2006/relationships" ref="F578" ns573:id="rId575"/>
    <x:hyperlink xmlns:ns574="http://schemas.openxmlformats.org/officeDocument/2006/relationships" ref="F579" ns574:id="rId576"/>
    <x:hyperlink xmlns:ns575="http://schemas.openxmlformats.org/officeDocument/2006/relationships" ref="F580" ns575:id="rId577"/>
    <x:hyperlink xmlns:ns576="http://schemas.openxmlformats.org/officeDocument/2006/relationships" ref="F581" ns576:id="rId578"/>
    <x:hyperlink xmlns:ns577="http://schemas.openxmlformats.org/officeDocument/2006/relationships" ref="F582" ns577:id="rId579"/>
    <x:hyperlink xmlns:ns578="http://schemas.openxmlformats.org/officeDocument/2006/relationships" ref="F583" ns578:id="rId580"/>
    <x:hyperlink xmlns:ns579="http://schemas.openxmlformats.org/officeDocument/2006/relationships" ref="F584" ns579:id="rId581"/>
    <x:hyperlink xmlns:ns580="http://schemas.openxmlformats.org/officeDocument/2006/relationships" ref="F585" ns580:id="rId582"/>
    <x:hyperlink xmlns:ns581="http://schemas.openxmlformats.org/officeDocument/2006/relationships" ref="F586" ns581:id="rId583"/>
    <x:hyperlink xmlns:ns582="http://schemas.openxmlformats.org/officeDocument/2006/relationships" ref="F587" ns582:id="rId584"/>
    <x:hyperlink xmlns:ns583="http://schemas.openxmlformats.org/officeDocument/2006/relationships" ref="F588" ns583:id="rId585"/>
    <x:hyperlink xmlns:ns584="http://schemas.openxmlformats.org/officeDocument/2006/relationships" ref="F589" ns584:id="rId586"/>
    <x:hyperlink xmlns:ns585="http://schemas.openxmlformats.org/officeDocument/2006/relationships" ref="F590" ns585:id="rId587"/>
    <x:hyperlink xmlns:ns586="http://schemas.openxmlformats.org/officeDocument/2006/relationships" ref="F591" ns586:id="rId588"/>
    <x:hyperlink xmlns:ns587="http://schemas.openxmlformats.org/officeDocument/2006/relationships" ref="F592" ns587:id="rId589"/>
    <x:hyperlink xmlns:ns588="http://schemas.openxmlformats.org/officeDocument/2006/relationships" ref="F593" ns588:id="rId590"/>
    <x:hyperlink xmlns:ns589="http://schemas.openxmlformats.org/officeDocument/2006/relationships" ref="F594" ns589:id="rId591"/>
    <x:hyperlink xmlns:ns590="http://schemas.openxmlformats.org/officeDocument/2006/relationships" ref="F595" ns590:id="rId592"/>
    <x:hyperlink xmlns:ns591="http://schemas.openxmlformats.org/officeDocument/2006/relationships" ref="F596" ns591:id="rId593"/>
    <x:hyperlink xmlns:ns592="http://schemas.openxmlformats.org/officeDocument/2006/relationships" ref="F597" ns592:id="rId594"/>
    <x:hyperlink xmlns:ns593="http://schemas.openxmlformats.org/officeDocument/2006/relationships" ref="F598" ns593:id="rId595"/>
    <x:hyperlink xmlns:ns594="http://schemas.openxmlformats.org/officeDocument/2006/relationships" ref="F599" ns594:id="rId596"/>
    <x:hyperlink xmlns:ns595="http://schemas.openxmlformats.org/officeDocument/2006/relationships" ref="F600" ns595:id="rId597"/>
    <x:hyperlink xmlns:ns596="http://schemas.openxmlformats.org/officeDocument/2006/relationships" ref="F601" ns596:id="rId598"/>
    <x:hyperlink xmlns:ns597="http://schemas.openxmlformats.org/officeDocument/2006/relationships" ref="F602" ns597:id="rId599"/>
    <x:hyperlink xmlns:ns598="http://schemas.openxmlformats.org/officeDocument/2006/relationships" ref="F603" ns598:id="rId600"/>
    <x:hyperlink xmlns:ns599="http://schemas.openxmlformats.org/officeDocument/2006/relationships" ref="F604" ns599:id="rId601"/>
    <x:hyperlink xmlns:ns600="http://schemas.openxmlformats.org/officeDocument/2006/relationships" ref="F605" ns600:id="rId602"/>
    <x:hyperlink xmlns:ns601="http://schemas.openxmlformats.org/officeDocument/2006/relationships" ref="F606" ns601:id="rId603"/>
    <x:hyperlink xmlns:ns602="http://schemas.openxmlformats.org/officeDocument/2006/relationships" ref="F607" ns602:id="rId604"/>
    <x:hyperlink xmlns:ns603="http://schemas.openxmlformats.org/officeDocument/2006/relationships" ref="F608" ns603:id="rId605"/>
    <x:hyperlink xmlns:ns604="http://schemas.openxmlformats.org/officeDocument/2006/relationships" ref="F609" ns604:id="rId606"/>
    <x:hyperlink xmlns:ns605="http://schemas.openxmlformats.org/officeDocument/2006/relationships" ref="F610" ns605:id="rId607"/>
    <x:hyperlink xmlns:ns606="http://schemas.openxmlformats.org/officeDocument/2006/relationships" ref="F611" ns606:id="rId608"/>
    <x:hyperlink xmlns:ns607="http://schemas.openxmlformats.org/officeDocument/2006/relationships" ref="F612" ns607:id="rId609"/>
    <x:hyperlink xmlns:ns608="http://schemas.openxmlformats.org/officeDocument/2006/relationships" ref="F613" ns608:id="rId610"/>
    <x:hyperlink xmlns:ns609="http://schemas.openxmlformats.org/officeDocument/2006/relationships" ref="F614" ns609:id="rId611"/>
    <x:hyperlink xmlns:ns610="http://schemas.openxmlformats.org/officeDocument/2006/relationships" ref="F615" ns610:id="rId612"/>
    <x:hyperlink xmlns:ns611="http://schemas.openxmlformats.org/officeDocument/2006/relationships" ref="F616" ns611:id="rId613"/>
    <x:hyperlink xmlns:ns612="http://schemas.openxmlformats.org/officeDocument/2006/relationships" ref="F617" ns612:id="rId614"/>
    <x:hyperlink xmlns:ns613="http://schemas.openxmlformats.org/officeDocument/2006/relationships" ref="F618" ns613:id="rId615"/>
    <x:hyperlink xmlns:ns614="http://schemas.openxmlformats.org/officeDocument/2006/relationships" ref="F619" ns614:id="rId616"/>
    <x:hyperlink xmlns:ns615="http://schemas.openxmlformats.org/officeDocument/2006/relationships" ref="F620" ns615:id="rId617"/>
    <x:hyperlink xmlns:ns616="http://schemas.openxmlformats.org/officeDocument/2006/relationships" ref="F621" ns616:id="rId618"/>
    <x:hyperlink xmlns:ns617="http://schemas.openxmlformats.org/officeDocument/2006/relationships" ref="F622" ns617:id="rId619"/>
    <x:hyperlink xmlns:ns618="http://schemas.openxmlformats.org/officeDocument/2006/relationships" ref="F623" ns618:id="rId620"/>
    <x:hyperlink xmlns:ns619="http://schemas.openxmlformats.org/officeDocument/2006/relationships" ref="F624" ns619:id="rId621"/>
    <x:hyperlink xmlns:ns620="http://schemas.openxmlformats.org/officeDocument/2006/relationships" ref="F625" ns620:id="rId622"/>
    <x:hyperlink xmlns:ns621="http://schemas.openxmlformats.org/officeDocument/2006/relationships" ref="F626" ns621:id="rId623"/>
    <x:hyperlink xmlns:ns622="http://schemas.openxmlformats.org/officeDocument/2006/relationships" ref="F627" ns622:id="rId624"/>
    <x:hyperlink xmlns:ns623="http://schemas.openxmlformats.org/officeDocument/2006/relationships" ref="F628" ns623:id="rId625"/>
    <x:hyperlink xmlns:ns624="http://schemas.openxmlformats.org/officeDocument/2006/relationships" ref="F629" ns624:id="rId626"/>
    <x:hyperlink xmlns:ns625="http://schemas.openxmlformats.org/officeDocument/2006/relationships" ref="F630" ns625:id="rId627"/>
    <x:hyperlink xmlns:ns626="http://schemas.openxmlformats.org/officeDocument/2006/relationships" ref="F631" ns626:id="rId628"/>
    <x:hyperlink xmlns:ns627="http://schemas.openxmlformats.org/officeDocument/2006/relationships" ref="F632" ns627:id="rId629"/>
    <x:hyperlink xmlns:ns628="http://schemas.openxmlformats.org/officeDocument/2006/relationships" ref="F633" ns628:id="rId630"/>
    <x:hyperlink xmlns:ns629="http://schemas.openxmlformats.org/officeDocument/2006/relationships" ref="F634" ns629:id="rId631"/>
    <x:hyperlink xmlns:ns630="http://schemas.openxmlformats.org/officeDocument/2006/relationships" ref="F635" ns630:id="rId632"/>
    <x:hyperlink xmlns:ns631="http://schemas.openxmlformats.org/officeDocument/2006/relationships" ref="F636" ns631:id="rId633"/>
    <x:hyperlink xmlns:ns632="http://schemas.openxmlformats.org/officeDocument/2006/relationships" ref="F637" ns632:id="rId634"/>
    <x:hyperlink xmlns:ns633="http://schemas.openxmlformats.org/officeDocument/2006/relationships" ref="F638" ns633:id="rId635"/>
    <x:hyperlink xmlns:ns634="http://schemas.openxmlformats.org/officeDocument/2006/relationships" ref="F639" ns634:id="rId636"/>
    <x:hyperlink xmlns:ns635="http://schemas.openxmlformats.org/officeDocument/2006/relationships" ref="F640" ns635:id="rId637"/>
    <x:hyperlink xmlns:ns636="http://schemas.openxmlformats.org/officeDocument/2006/relationships" ref="F641" ns636:id="rId638"/>
    <x:hyperlink xmlns:ns637="http://schemas.openxmlformats.org/officeDocument/2006/relationships" ref="F642" ns637:id="rId639"/>
    <x:hyperlink xmlns:ns638="http://schemas.openxmlformats.org/officeDocument/2006/relationships" ref="F643" ns638:id="rId640"/>
    <x:hyperlink xmlns:ns639="http://schemas.openxmlformats.org/officeDocument/2006/relationships" ref="F644" ns639:id="rId641"/>
    <x:hyperlink xmlns:ns640="http://schemas.openxmlformats.org/officeDocument/2006/relationships" ref="F645" ns640:id="rId642"/>
    <x:hyperlink xmlns:ns641="http://schemas.openxmlformats.org/officeDocument/2006/relationships" ref="F646" ns641:id="rId643"/>
    <x:hyperlink xmlns:ns642="http://schemas.openxmlformats.org/officeDocument/2006/relationships" ref="F647" ns642:id="rId644"/>
    <x:hyperlink xmlns:ns643="http://schemas.openxmlformats.org/officeDocument/2006/relationships" ref="F648" ns643:id="rId645"/>
    <x:hyperlink xmlns:ns644="http://schemas.openxmlformats.org/officeDocument/2006/relationships" ref="F649" ns644:id="rId646"/>
    <x:hyperlink xmlns:ns645="http://schemas.openxmlformats.org/officeDocument/2006/relationships" ref="F650" ns645:id="rId647"/>
    <x:hyperlink xmlns:ns646="http://schemas.openxmlformats.org/officeDocument/2006/relationships" ref="F651" ns646:id="rId648"/>
    <x:hyperlink xmlns:ns647="http://schemas.openxmlformats.org/officeDocument/2006/relationships" ref="F652" ns647:id="rId649"/>
    <x:hyperlink xmlns:ns648="http://schemas.openxmlformats.org/officeDocument/2006/relationships" ref="F653" ns648:id="rId650"/>
    <x:hyperlink xmlns:ns649="http://schemas.openxmlformats.org/officeDocument/2006/relationships" ref="F654" ns649:id="rId651"/>
    <x:hyperlink xmlns:ns650="http://schemas.openxmlformats.org/officeDocument/2006/relationships" ref="F655" ns650:id="rId652"/>
    <x:hyperlink xmlns:ns651="http://schemas.openxmlformats.org/officeDocument/2006/relationships" ref="F656" ns651:id="rId653"/>
    <x:hyperlink xmlns:ns652="http://schemas.openxmlformats.org/officeDocument/2006/relationships" ref="F657" ns652:id="rId654"/>
    <x:hyperlink xmlns:ns653="http://schemas.openxmlformats.org/officeDocument/2006/relationships" ref="F658" ns653:id="rId655"/>
    <x:hyperlink xmlns:ns654="http://schemas.openxmlformats.org/officeDocument/2006/relationships" ref="F659" ns654:id="rId656"/>
    <x:hyperlink xmlns:ns655="http://schemas.openxmlformats.org/officeDocument/2006/relationships" ref="F660" ns655:id="rId657"/>
    <x:hyperlink xmlns:ns656="http://schemas.openxmlformats.org/officeDocument/2006/relationships" ref="F661" ns656:id="rId658"/>
    <x:hyperlink xmlns:ns657="http://schemas.openxmlformats.org/officeDocument/2006/relationships" ref="F662" ns657:id="rId659"/>
    <x:hyperlink xmlns:ns658="http://schemas.openxmlformats.org/officeDocument/2006/relationships" ref="F663" ns658:id="rId660"/>
    <x:hyperlink xmlns:ns659="http://schemas.openxmlformats.org/officeDocument/2006/relationships" ref="F664" ns659:id="rId661"/>
    <x:hyperlink xmlns:ns660="http://schemas.openxmlformats.org/officeDocument/2006/relationships" ref="F665" ns660:id="rId662"/>
    <x:hyperlink xmlns:ns661="http://schemas.openxmlformats.org/officeDocument/2006/relationships" ref="F666" ns661:id="rId663"/>
    <x:hyperlink xmlns:ns662="http://schemas.openxmlformats.org/officeDocument/2006/relationships" ref="F667" ns662:id="rId664"/>
    <x:hyperlink xmlns:ns663="http://schemas.openxmlformats.org/officeDocument/2006/relationships" ref="F668" ns663:id="rId665"/>
    <x:hyperlink xmlns:ns664="http://schemas.openxmlformats.org/officeDocument/2006/relationships" ref="F669" ns664:id="rId666"/>
    <x:hyperlink xmlns:ns665="http://schemas.openxmlformats.org/officeDocument/2006/relationships" ref="F670" ns665:id="rId667"/>
    <x:hyperlink xmlns:ns666="http://schemas.openxmlformats.org/officeDocument/2006/relationships" ref="F671" ns666:id="rId668"/>
    <x:hyperlink xmlns:ns667="http://schemas.openxmlformats.org/officeDocument/2006/relationships" ref="F672" ns667:id="rId669"/>
    <x:hyperlink xmlns:ns668="http://schemas.openxmlformats.org/officeDocument/2006/relationships" ref="F673" ns668:id="rId670"/>
    <x:hyperlink xmlns:ns669="http://schemas.openxmlformats.org/officeDocument/2006/relationships" ref="F674" ns669:id="rId671"/>
    <x:hyperlink xmlns:ns670="http://schemas.openxmlformats.org/officeDocument/2006/relationships" ref="F675" ns670:id="rId672"/>
    <x:hyperlink xmlns:ns671="http://schemas.openxmlformats.org/officeDocument/2006/relationships" ref="F676" ns671:id="rId673"/>
    <x:hyperlink xmlns:ns672="http://schemas.openxmlformats.org/officeDocument/2006/relationships" ref="F677" ns672:id="rId674"/>
    <x:hyperlink xmlns:ns673="http://schemas.openxmlformats.org/officeDocument/2006/relationships" ref="F678" ns673:id="rId675"/>
    <x:hyperlink xmlns:ns674="http://schemas.openxmlformats.org/officeDocument/2006/relationships" ref="F679" ns674:id="rId676"/>
    <x:hyperlink xmlns:ns675="http://schemas.openxmlformats.org/officeDocument/2006/relationships" ref="F680" ns675:id="rId677"/>
    <x:hyperlink xmlns:ns676="http://schemas.openxmlformats.org/officeDocument/2006/relationships" ref="F681" ns676:id="rId678"/>
    <x:hyperlink xmlns:ns677="http://schemas.openxmlformats.org/officeDocument/2006/relationships" ref="F682" ns677:id="rId679"/>
    <x:hyperlink xmlns:ns678="http://schemas.openxmlformats.org/officeDocument/2006/relationships" ref="F683" ns678:id="rId680"/>
    <x:hyperlink xmlns:ns679="http://schemas.openxmlformats.org/officeDocument/2006/relationships" ref="F684" ns679:id="rId681"/>
    <x:hyperlink xmlns:ns680="http://schemas.openxmlformats.org/officeDocument/2006/relationships" ref="F685" ns680:id="rId682"/>
    <x:hyperlink xmlns:ns681="http://schemas.openxmlformats.org/officeDocument/2006/relationships" ref="F686" ns681:id="rId683"/>
    <x:hyperlink xmlns:ns682="http://schemas.openxmlformats.org/officeDocument/2006/relationships" ref="F687" ns682:id="rId684"/>
    <x:hyperlink xmlns:ns683="http://schemas.openxmlformats.org/officeDocument/2006/relationships" ref="F688" ns683:id="rId685"/>
    <x:hyperlink xmlns:ns684="http://schemas.openxmlformats.org/officeDocument/2006/relationships" ref="F689" ns684:id="rId686"/>
    <x:hyperlink xmlns:ns685="http://schemas.openxmlformats.org/officeDocument/2006/relationships" ref="F690" ns685:id="rId687"/>
    <x:hyperlink xmlns:ns686="http://schemas.openxmlformats.org/officeDocument/2006/relationships" ref="F691" ns686:id="rId688"/>
    <x:hyperlink xmlns:ns687="http://schemas.openxmlformats.org/officeDocument/2006/relationships" ref="F692" ns687:id="rId689"/>
    <x:hyperlink xmlns:ns688="http://schemas.openxmlformats.org/officeDocument/2006/relationships" ref="F693" ns688:id="rId690"/>
    <x:hyperlink xmlns:ns689="http://schemas.openxmlformats.org/officeDocument/2006/relationships" ref="F694" ns689:id="rId691"/>
    <x:hyperlink xmlns:ns690="http://schemas.openxmlformats.org/officeDocument/2006/relationships" ref="F695" ns690:id="rId692"/>
    <x:hyperlink xmlns:ns691="http://schemas.openxmlformats.org/officeDocument/2006/relationships" ref="F696" ns691:id="rId693"/>
    <x:hyperlink xmlns:ns692="http://schemas.openxmlformats.org/officeDocument/2006/relationships" ref="F697" ns692:id="rId694"/>
    <x:hyperlink xmlns:ns693="http://schemas.openxmlformats.org/officeDocument/2006/relationships" ref="F698" ns693:id="rId695"/>
    <x:hyperlink xmlns:ns694="http://schemas.openxmlformats.org/officeDocument/2006/relationships" ref="F699" ns694:id="rId696"/>
    <x:hyperlink xmlns:ns695="http://schemas.openxmlformats.org/officeDocument/2006/relationships" ref="F700" ns695:id="rId697"/>
    <x:hyperlink xmlns:ns696="http://schemas.openxmlformats.org/officeDocument/2006/relationships" ref="F701" ns696:id="rId698"/>
    <x:hyperlink xmlns:ns697="http://schemas.openxmlformats.org/officeDocument/2006/relationships" ref="F702" ns697:id="rId699"/>
    <x:hyperlink xmlns:ns698="http://schemas.openxmlformats.org/officeDocument/2006/relationships" ref="F703" ns698:id="rId700"/>
    <x:hyperlink xmlns:ns699="http://schemas.openxmlformats.org/officeDocument/2006/relationships" ref="F704" ns699:id="rId701"/>
    <x:hyperlink xmlns:ns700="http://schemas.openxmlformats.org/officeDocument/2006/relationships" ref="F705" ns700:id="rId702"/>
    <x:hyperlink xmlns:ns701="http://schemas.openxmlformats.org/officeDocument/2006/relationships" ref="F706" ns701:id="rId703"/>
    <x:hyperlink xmlns:ns702="http://schemas.openxmlformats.org/officeDocument/2006/relationships" ref="F707" ns702:id="rId704"/>
    <x:hyperlink xmlns:ns703="http://schemas.openxmlformats.org/officeDocument/2006/relationships" ref="F708" ns703:id="rId705"/>
    <x:hyperlink xmlns:ns704="http://schemas.openxmlformats.org/officeDocument/2006/relationships" ref="F709" ns704:id="rId706"/>
    <x:hyperlink xmlns:ns705="http://schemas.openxmlformats.org/officeDocument/2006/relationships" ref="F710" ns705:id="rId707"/>
    <x:hyperlink xmlns:ns706="http://schemas.openxmlformats.org/officeDocument/2006/relationships" ref="F711" ns706:id="rId708"/>
    <x:hyperlink xmlns:ns707="http://schemas.openxmlformats.org/officeDocument/2006/relationships" ref="F712" ns707:id="rId709"/>
    <x:hyperlink xmlns:ns708="http://schemas.openxmlformats.org/officeDocument/2006/relationships" ref="F713" ns708:id="rId710"/>
    <x:hyperlink xmlns:ns709="http://schemas.openxmlformats.org/officeDocument/2006/relationships" ref="F714" ns709:id="rId711"/>
    <x:hyperlink xmlns:ns710="http://schemas.openxmlformats.org/officeDocument/2006/relationships" ref="F715" ns710:id="rId712"/>
    <x:hyperlink xmlns:ns711="http://schemas.openxmlformats.org/officeDocument/2006/relationships" ref="F716" ns711:id="rId713"/>
    <x:hyperlink xmlns:ns712="http://schemas.openxmlformats.org/officeDocument/2006/relationships" ref="F717" ns712:id="rId714"/>
    <x:hyperlink xmlns:ns713="http://schemas.openxmlformats.org/officeDocument/2006/relationships" ref="F718" ns713:id="rId715"/>
    <x:hyperlink xmlns:ns714="http://schemas.openxmlformats.org/officeDocument/2006/relationships" ref="F719" ns714:id="rId716"/>
    <x:hyperlink xmlns:ns715="http://schemas.openxmlformats.org/officeDocument/2006/relationships" ref="F720" ns715:id="rId717"/>
    <x:hyperlink xmlns:ns716="http://schemas.openxmlformats.org/officeDocument/2006/relationships" ref="F721" ns716:id="rId718"/>
    <x:hyperlink xmlns:ns717="http://schemas.openxmlformats.org/officeDocument/2006/relationships" ref="F722" ns717:id="rId719"/>
    <x:hyperlink xmlns:ns718="http://schemas.openxmlformats.org/officeDocument/2006/relationships" ref="F723" ns718:id="rId720"/>
    <x:hyperlink xmlns:ns719="http://schemas.openxmlformats.org/officeDocument/2006/relationships" ref="F724" ns719:id="rId721"/>
  </x:hyperlinks>
  <x:pageMargins left="0.7" right="0.7" top="0.75" bottom="0.75" header="0.3" footer="0.3"/>
  <x:tableParts count="1">
    <x:tablePart xmlns:r="http://schemas.openxmlformats.org/officeDocument/2006/relationships" r:id="R698fbb778e344ebf"/>
  </x:tableParts>
</x:worksheet>
</file>